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yhan/Terrain/atelier/dvl/repos/git/tabulo/repos/addons/atom-language-noted-maint/resources/"/>
    </mc:Choice>
  </mc:AlternateContent>
  <xr:revisionPtr revIDLastSave="0" documentId="13_ncr:1_{9B3E74F9-241B-8841-A96F-F3E91408600C}" xr6:coauthVersionLast="34" xr6:coauthVersionMax="34" xr10:uidLastSave="{00000000-0000-0000-0000-000000000000}"/>
  <bookViews>
    <workbookView xWindow="43200" yWindow="460" windowWidth="40960" windowHeight="22580" activeTab="3" xr2:uid="{879E4651-A940-F84C-942F-8B36A24E2779}"/>
  </bookViews>
  <sheets>
    <sheet name="Data" sheetId="1" r:id="rId1"/>
    <sheet name="Summary" sheetId="6" r:id="rId2"/>
    <sheet name="Regexen" sheetId="4" r:id="rId3"/>
    <sheet name="Scratch" sheetId="5" r:id="rId4"/>
  </sheets>
  <functionGroups builtInGroupCount="19"/>
  <definedNames>
    <definedName name="atom_grammatic_group_template">Regexen!$N$36</definedName>
    <definedName name="atom_grammatic_name_template">Regexen!$N$35</definedName>
    <definedName name="cs_tag_type">Regexen!$N$45</definedName>
    <definedName name="dynamic_subscope_cap">Regexen!$N$32</definedName>
    <definedName name="dynamic_subscope_mask">Regexen!$N$28</definedName>
    <definedName name="ename">Regexen!$N$19</definedName>
    <definedName name="extra_spec">Regexen!$N$21</definedName>
    <definedName name="markup_subscope_cap">Regexen!$N$33</definedName>
    <definedName name="markup_subscope_mask">Regexen!$N$29</definedName>
    <definedName name="meta_subscope_cap">Regexen!$N$31</definedName>
    <definedName name="meta_subscope_mask">Regexen!$N$27</definedName>
    <definedName name="meta.notelet.spirit.__SPIRIT__.text.noted">Regexen!$N$29:$N$29</definedName>
    <definedName name="newline">Regexen!$N$7</definedName>
    <definedName name="re_atom_pattern_begin">Regexen!$N$10</definedName>
    <definedName name="re_atom_pattern_end">Regexen!$N$11</definedName>
    <definedName name="re_tag_after">Regexen!$N$39</definedName>
    <definedName name="re_tag_after_simple">Regexen!$N$42</definedName>
    <definedName name="re_tag_alert">Regexen!$N$55</definedName>
    <definedName name="re_tag_aside">Regexen!$N$56</definedName>
    <definedName name="re_tag_bad">Regexen!$N$53</definedName>
    <definedName name="re_tag_before">Regexen!$N$38</definedName>
    <definedName name="re_tag_before_simple">Regexen!$N$41</definedName>
    <definedName name="re_tag_fishy">Regexen!$N$63</definedName>
    <definedName name="re_tag_good">Regexen!$N$57</definedName>
    <definedName name="re_tag_label">Regexen!$N$47</definedName>
    <definedName name="re_tag_label_simple">Regexen!$N$43</definedName>
    <definedName name="re_tag_mention">Regexen!#REF!</definedName>
    <definedName name="re_tag_neutral">Regexen!$N$58</definedName>
    <definedName name="re_tag_noted">Regexen!$N$49</definedName>
    <definedName name="re_tag_noted_simple">Regexen!#REF!</definedName>
    <definedName name="re_tag_ok_sym">Regexen!#REF!</definedName>
    <definedName name="re_tag_question">Regexen!$N$54</definedName>
    <definedName name="re_tag_spooky">Regexen!$N$52</definedName>
    <definedName name="re_tag_tail">Regexen!$N$48</definedName>
    <definedName name="re_tag_type">Regexen!$N$46</definedName>
    <definedName name="re_tw_hashtag">Regexen!#REF!</definedName>
    <definedName name="re_tw_label">Regexen!$N$14</definedName>
    <definedName name="re_tw_mention">Regexen!#REF!</definedName>
    <definedName name="re_tw_reference">Regexen!$N$16</definedName>
    <definedName name="re_tw_refsymbol">Regexen!$N$15</definedName>
    <definedName name="scope_suffix">Regexen!$N$20</definedName>
    <definedName name="spirit_placeholder">Regexen!$N$23</definedName>
    <definedName name="spirit_prefix">Regexen!$N$22</definedName>
    <definedName name="spirit_spec">Regexen!$N$24</definedName>
    <definedName name="spirit_spec_full">Regexen!$N$25</definedName>
    <definedName name="TCfg">Table4[#All]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1" i="4" l="1"/>
  <c r="R51" i="4"/>
  <c r="U51" i="4"/>
  <c r="P21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AE19" i="4" s="1"/>
  <c r="R20" i="4"/>
  <c r="AE20" i="4" s="1"/>
  <c r="R21" i="4"/>
  <c r="AE21" i="4" s="1"/>
  <c r="R22" i="4"/>
  <c r="AE22" i="4" s="1"/>
  <c r="R23" i="4"/>
  <c r="R24" i="4"/>
  <c r="R25" i="4"/>
  <c r="R26" i="4"/>
  <c r="R27" i="4"/>
  <c r="W27" i="4" s="1"/>
  <c r="R28" i="4"/>
  <c r="AE28" i="4" s="1"/>
  <c r="R29" i="4"/>
  <c r="R30" i="4"/>
  <c r="R31" i="4"/>
  <c r="AE31" i="4" s="1"/>
  <c r="R32" i="4"/>
  <c r="R33" i="4"/>
  <c r="R34" i="4"/>
  <c r="AE34" i="4" s="1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3" i="4"/>
  <c r="R54" i="4"/>
  <c r="R55" i="4"/>
  <c r="R57" i="4"/>
  <c r="R56" i="4"/>
  <c r="R58" i="4"/>
  <c r="R59" i="4"/>
  <c r="R60" i="4"/>
  <c r="R61" i="4"/>
  <c r="R62" i="4"/>
  <c r="R63" i="4"/>
  <c r="R64" i="4"/>
  <c r="C31" i="4"/>
  <c r="F31" i="4"/>
  <c r="G31" i="4"/>
  <c r="H31" i="4"/>
  <c r="I31" i="4"/>
  <c r="U31" i="4"/>
  <c r="C33" i="4"/>
  <c r="F33" i="4"/>
  <c r="G33" i="4"/>
  <c r="H33" i="4"/>
  <c r="I33" i="4"/>
  <c r="AE33" i="4"/>
  <c r="U33" i="4"/>
  <c r="C32" i="4"/>
  <c r="F32" i="4"/>
  <c r="G32" i="4"/>
  <c r="H32" i="4"/>
  <c r="I32" i="4"/>
  <c r="W32" i="4"/>
  <c r="U32" i="4"/>
  <c r="N21" i="4"/>
  <c r="AD49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9" i="4"/>
  <c r="H28" i="4"/>
  <c r="H30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50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9" i="4"/>
  <c r="G28" i="4"/>
  <c r="G30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50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9" i="4"/>
  <c r="F28" i="4"/>
  <c r="F30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50" i="4"/>
  <c r="C26" i="4"/>
  <c r="I26" i="4"/>
  <c r="AE26" i="4"/>
  <c r="U26" i="4"/>
  <c r="C24" i="4"/>
  <c r="I24" i="4"/>
  <c r="AE24" i="4"/>
  <c r="U24" i="4"/>
  <c r="C25" i="4"/>
  <c r="I25" i="4"/>
  <c r="AE25" i="4"/>
  <c r="U25" i="4"/>
  <c r="C21" i="4"/>
  <c r="I21" i="4"/>
  <c r="U21" i="4"/>
  <c r="N23" i="4"/>
  <c r="C23" i="4"/>
  <c r="I23" i="4"/>
  <c r="AE23" i="4"/>
  <c r="U23" i="4"/>
  <c r="C27" i="4"/>
  <c r="I27" i="4"/>
  <c r="U27" i="4"/>
  <c r="C28" i="4"/>
  <c r="I28" i="4"/>
  <c r="U28" i="4"/>
  <c r="C30" i="4"/>
  <c r="I30" i="4"/>
  <c r="AE30" i="4"/>
  <c r="U30" i="4"/>
  <c r="C29" i="4"/>
  <c r="I29" i="4"/>
  <c r="U29" i="4"/>
  <c r="N19" i="4"/>
  <c r="J49" i="4" s="1"/>
  <c r="N20" i="4"/>
  <c r="C19" i="4"/>
  <c r="I19" i="4"/>
  <c r="U19" i="4"/>
  <c r="N22" i="4"/>
  <c r="C22" i="4"/>
  <c r="I22" i="4"/>
  <c r="U22" i="4"/>
  <c r="C34" i="4"/>
  <c r="I34" i="4"/>
  <c r="U34" i="4"/>
  <c r="N17" i="4"/>
  <c r="N18" i="4"/>
  <c r="C20" i="4"/>
  <c r="I20" i="4"/>
  <c r="U20" i="4"/>
  <c r="M57" i="4"/>
  <c r="AC51" i="4"/>
  <c r="AE51" i="4"/>
  <c r="AE29" i="4"/>
  <c r="E6" i="4"/>
  <c r="E30" i="4"/>
  <c r="E7" i="4"/>
  <c r="E31" i="4"/>
  <c r="E8" i="4"/>
  <c r="E32" i="4"/>
  <c r="E9" i="4"/>
  <c r="E33" i="4"/>
  <c r="E26" i="4"/>
  <c r="E34" i="4"/>
  <c r="E35" i="4"/>
  <c r="E36" i="4"/>
  <c r="E37" i="4"/>
  <c r="E20" i="4"/>
  <c r="E22" i="4"/>
  <c r="E23" i="4"/>
  <c r="E18" i="4"/>
  <c r="E21" i="4"/>
  <c r="E17" i="4"/>
  <c r="AC31" i="4"/>
  <c r="AK31" i="4"/>
  <c r="D31" i="4"/>
  <c r="AC33" i="4"/>
  <c r="AK33" i="4"/>
  <c r="D33" i="4"/>
  <c r="AC32" i="4"/>
  <c r="AK32" i="4"/>
  <c r="D32" i="4"/>
  <c r="AC22" i="4"/>
  <c r="AA22" i="4" s="1"/>
  <c r="AC30" i="4"/>
  <c r="AA30" i="4" s="1"/>
  <c r="AC23" i="4"/>
  <c r="AA23" i="4" s="1"/>
  <c r="AC34" i="4"/>
  <c r="AA34" i="4" s="1"/>
  <c r="AC24" i="4"/>
  <c r="AA24" i="4" s="1"/>
  <c r="AC25" i="4"/>
  <c r="AA25" i="4" s="1"/>
  <c r="AC26" i="4"/>
  <c r="AA26" i="4" s="1"/>
  <c r="AC19" i="4"/>
  <c r="AA19" i="4" s="1"/>
  <c r="AC27" i="4"/>
  <c r="AA27" i="4" s="1"/>
  <c r="AC20" i="4"/>
  <c r="AA20" i="4" s="1"/>
  <c r="AC29" i="4"/>
  <c r="AA29" i="4" s="1"/>
  <c r="AC21" i="4"/>
  <c r="AA21" i="4" s="1"/>
  <c r="AC28" i="4"/>
  <c r="AA28" i="4" s="1"/>
  <c r="AK26" i="4"/>
  <c r="D26" i="4"/>
  <c r="AK24" i="4"/>
  <c r="D24" i="4"/>
  <c r="AK25" i="4"/>
  <c r="D25" i="4"/>
  <c r="AK21" i="4"/>
  <c r="D21" i="4"/>
  <c r="AK23" i="4"/>
  <c r="D23" i="4"/>
  <c r="AK27" i="4"/>
  <c r="D27" i="4"/>
  <c r="AK28" i="4"/>
  <c r="D28" i="4"/>
  <c r="AK30" i="4"/>
  <c r="D30" i="4"/>
  <c r="AK29" i="4"/>
  <c r="D29" i="4"/>
  <c r="AK19" i="4"/>
  <c r="D19" i="4"/>
  <c r="AK22" i="4"/>
  <c r="D22" i="4"/>
  <c r="AK34" i="4"/>
  <c r="D34" i="4"/>
  <c r="AK20" i="4"/>
  <c r="D20" i="4"/>
  <c r="J51" i="4" l="1"/>
  <c r="I51" i="4" s="1"/>
  <c r="P24" i="4"/>
  <c r="W31" i="4"/>
  <c r="W33" i="4"/>
  <c r="AE32" i="4"/>
  <c r="N24" i="4"/>
  <c r="P25" i="4" s="1"/>
  <c r="W26" i="4"/>
  <c r="W24" i="4"/>
  <c r="W25" i="4"/>
  <c r="W21" i="4"/>
  <c r="W23" i="4"/>
  <c r="AE27" i="4"/>
  <c r="W28" i="4"/>
  <c r="W30" i="4"/>
  <c r="J59" i="4"/>
  <c r="I59" i="4" s="1"/>
  <c r="J58" i="4"/>
  <c r="I58" i="4" s="1"/>
  <c r="J56" i="4"/>
  <c r="I56" i="4" s="1"/>
  <c r="J64" i="4"/>
  <c r="I64" i="4" s="1"/>
  <c r="J57" i="4"/>
  <c r="I57" i="4" s="1"/>
  <c r="J63" i="4"/>
  <c r="I63" i="4" s="1"/>
  <c r="J55" i="4"/>
  <c r="I55" i="4" s="1"/>
  <c r="J62" i="4"/>
  <c r="I62" i="4" s="1"/>
  <c r="J54" i="4"/>
  <c r="I54" i="4" s="1"/>
  <c r="J60" i="4"/>
  <c r="I60" i="4" s="1"/>
  <c r="J61" i="4"/>
  <c r="I61" i="4" s="1"/>
  <c r="J53" i="4"/>
  <c r="I53" i="4" s="1"/>
  <c r="J52" i="4"/>
  <c r="I52" i="4" s="1"/>
  <c r="W19" i="4"/>
  <c r="W22" i="4"/>
  <c r="W34" i="4"/>
  <c r="W20" i="4"/>
  <c r="M63" i="4"/>
  <c r="U57" i="4"/>
  <c r="U63" i="4"/>
  <c r="I49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50" i="4"/>
  <c r="M62" i="4"/>
  <c r="O52" i="4"/>
  <c r="R52" i="4" s="1"/>
  <c r="U62" i="4"/>
  <c r="M59" i="4"/>
  <c r="M60" i="4"/>
  <c r="U59" i="4"/>
  <c r="M55" i="4"/>
  <c r="M58" i="4"/>
  <c r="M53" i="4"/>
  <c r="M52" i="4"/>
  <c r="M64" i="4"/>
  <c r="M61" i="4"/>
  <c r="M54" i="4"/>
  <c r="M56" i="4"/>
  <c r="U54" i="4"/>
  <c r="U61" i="4"/>
  <c r="AA51" i="4"/>
  <c r="E19" i="4"/>
  <c r="E24" i="4"/>
  <c r="AI31" i="4"/>
  <c r="AA31" i="4"/>
  <c r="AI33" i="4"/>
  <c r="AA33" i="4"/>
  <c r="AI32" i="4"/>
  <c r="AA32" i="4"/>
  <c r="AC62" i="4"/>
  <c r="AA62" i="4" s="1"/>
  <c r="AC59" i="4"/>
  <c r="AA59" i="4" s="1"/>
  <c r="AC57" i="4"/>
  <c r="AA57" i="4" s="1"/>
  <c r="AC63" i="4"/>
  <c r="AA63" i="4" s="1"/>
  <c r="AC54" i="4"/>
  <c r="AA54" i="4" s="1"/>
  <c r="AC61" i="4"/>
  <c r="AA61" i="4" s="1"/>
  <c r="Z26" i="4"/>
  <c r="Y26" i="4" s="1"/>
  <c r="AI26" i="4"/>
  <c r="AI24" i="4"/>
  <c r="Z24" i="4"/>
  <c r="Y24" i="4" s="1"/>
  <c r="Z25" i="4"/>
  <c r="Y25" i="4" s="1"/>
  <c r="AI25" i="4"/>
  <c r="AI21" i="4"/>
  <c r="Z21" i="4"/>
  <c r="Y21" i="4" s="1"/>
  <c r="Z23" i="4"/>
  <c r="Y23" i="4" s="1"/>
  <c r="AI23" i="4"/>
  <c r="Z27" i="4"/>
  <c r="Y27" i="4" s="1"/>
  <c r="AI27" i="4"/>
  <c r="Z28" i="4"/>
  <c r="Y28" i="4" s="1"/>
  <c r="AI28" i="4"/>
  <c r="Z30" i="4"/>
  <c r="Y30" i="4" s="1"/>
  <c r="AI30" i="4"/>
  <c r="AI29" i="4"/>
  <c r="Z29" i="4"/>
  <c r="Y29" i="4" s="1"/>
  <c r="AI19" i="4"/>
  <c r="Z19" i="4"/>
  <c r="Y19" i="4" s="1"/>
  <c r="Z22" i="4"/>
  <c r="Y22" i="4" s="1"/>
  <c r="AI22" i="4"/>
  <c r="AI34" i="4"/>
  <c r="Z34" i="4"/>
  <c r="Y34" i="4" s="1"/>
  <c r="AI20" i="4"/>
  <c r="Z20" i="4"/>
  <c r="Y20" i="4" s="1"/>
  <c r="AE62" i="4"/>
  <c r="Z62" i="4"/>
  <c r="AE54" i="4"/>
  <c r="Z54" i="4"/>
  <c r="AE63" i="4"/>
  <c r="Z63" i="4"/>
  <c r="AE61" i="4"/>
  <c r="Z61" i="4"/>
  <c r="AE59" i="4"/>
  <c r="Z59" i="4"/>
  <c r="D8" i="4"/>
  <c r="D16" i="4"/>
  <c r="D40" i="4"/>
  <c r="D48" i="4"/>
  <c r="D58" i="4"/>
  <c r="D63" i="4"/>
  <c r="D9" i="4"/>
  <c r="D17" i="4"/>
  <c r="D41" i="4"/>
  <c r="D56" i="4"/>
  <c r="AK46" i="4"/>
  <c r="AK16" i="4"/>
  <c r="AK10" i="4"/>
  <c r="AK50" i="4"/>
  <c r="AK37" i="4"/>
  <c r="AK18" i="4"/>
  <c r="AK8" i="4"/>
  <c r="D10" i="4"/>
  <c r="D18" i="4"/>
  <c r="D42" i="4"/>
  <c r="D50" i="4"/>
  <c r="AK40" i="4"/>
  <c r="AK12" i="4"/>
  <c r="AK43" i="4"/>
  <c r="D11" i="4"/>
  <c r="D35" i="4"/>
  <c r="D43" i="4"/>
  <c r="D64" i="4"/>
  <c r="AK7" i="4"/>
  <c r="AK48" i="4"/>
  <c r="AK42" i="4"/>
  <c r="AK36" i="4"/>
  <c r="D54" i="4"/>
  <c r="AK35" i="4"/>
  <c r="AK38" i="4"/>
  <c r="D12" i="4"/>
  <c r="D36" i="4"/>
  <c r="D44" i="4"/>
  <c r="AK15" i="4"/>
  <c r="AK44" i="4"/>
  <c r="AK13" i="4"/>
  <c r="AK47" i="4"/>
  <c r="AK45" i="4"/>
  <c r="AK49" i="4"/>
  <c r="D57" i="4"/>
  <c r="D49" i="4"/>
  <c r="D13" i="4"/>
  <c r="D37" i="4"/>
  <c r="D45" i="4"/>
  <c r="D53" i="4"/>
  <c r="D59" i="4"/>
  <c r="AK39" i="4"/>
  <c r="AK9" i="4"/>
  <c r="AK6" i="4"/>
  <c r="AK11" i="4"/>
  <c r="AK41" i="4"/>
  <c r="D6" i="4"/>
  <c r="D14" i="4"/>
  <c r="D38" i="4"/>
  <c r="D46" i="4"/>
  <c r="AK17" i="4"/>
  <c r="D7" i="4"/>
  <c r="D15" i="4"/>
  <c r="D39" i="4"/>
  <c r="D47" i="4"/>
  <c r="D55" i="4"/>
  <c r="D52" i="4"/>
  <c r="AK14" i="4"/>
  <c r="D60" i="4"/>
  <c r="D62" i="4"/>
  <c r="D61" i="4"/>
  <c r="N25" i="4" l="1"/>
  <c r="P27" i="4"/>
  <c r="N27" i="4" s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50" i="4"/>
  <c r="Z51" i="4"/>
  <c r="Y51" i="4" s="1"/>
  <c r="D51" i="4"/>
  <c r="F51" i="4"/>
  <c r="E25" i="4"/>
  <c r="E27" i="4"/>
  <c r="Z31" i="4"/>
  <c r="Y31" i="4" s="1"/>
  <c r="Z33" i="4"/>
  <c r="Y33" i="4" s="1"/>
  <c r="Z32" i="4"/>
  <c r="Y32" i="4" s="1"/>
  <c r="AE57" i="4"/>
  <c r="Z57" i="4" s="1"/>
  <c r="AI14" i="4"/>
  <c r="AI45" i="4"/>
  <c r="AI35" i="4"/>
  <c r="AI8" i="4"/>
  <c r="AI17" i="4"/>
  <c r="AI47" i="4"/>
  <c r="AI36" i="4"/>
  <c r="AI18" i="4"/>
  <c r="AI49" i="4"/>
  <c r="AI41" i="4"/>
  <c r="AI13" i="4"/>
  <c r="AI42" i="4"/>
  <c r="AI37" i="4"/>
  <c r="AI11" i="4"/>
  <c r="AI44" i="4"/>
  <c r="AI48" i="4"/>
  <c r="AI50" i="4"/>
  <c r="AI6" i="4"/>
  <c r="AI7" i="4"/>
  <c r="AI10" i="4"/>
  <c r="AI40" i="4"/>
  <c r="AI9" i="4"/>
  <c r="AI43" i="4"/>
  <c r="AI16" i="4"/>
  <c r="AI38" i="4"/>
  <c r="AI39" i="4"/>
  <c r="AI15" i="4"/>
  <c r="AI12" i="4"/>
  <c r="AI46" i="4"/>
  <c r="P29" i="4" l="1"/>
  <c r="N29" i="4" s="1"/>
  <c r="P28" i="4"/>
  <c r="N28" i="4" s="1"/>
  <c r="U6" i="4"/>
  <c r="U7" i="4"/>
  <c r="U8" i="4"/>
  <c r="G51" i="4"/>
  <c r="H51" i="4"/>
  <c r="E28" i="4"/>
  <c r="E29" i="4"/>
  <c r="AC6" i="4"/>
  <c r="AA6" i="4" s="1"/>
  <c r="AC7" i="4"/>
  <c r="AA7" i="4" s="1"/>
  <c r="AC8" i="4"/>
  <c r="AA8" i="4" s="1"/>
  <c r="F49" i="4"/>
  <c r="F61" i="4"/>
  <c r="F56" i="4"/>
  <c r="F64" i="4"/>
  <c r="F60" i="4"/>
  <c r="F54" i="4"/>
  <c r="F57" i="4"/>
  <c r="F58" i="4"/>
  <c r="F62" i="4"/>
  <c r="F53" i="4"/>
  <c r="F59" i="4"/>
  <c r="F55" i="4"/>
  <c r="F52" i="4"/>
  <c r="F63" i="4"/>
  <c r="Y63" i="4"/>
  <c r="Y61" i="4"/>
  <c r="Y59" i="4"/>
  <c r="Y54" i="4"/>
  <c r="Y57" i="4"/>
  <c r="Y62" i="4"/>
  <c r="W8" i="4" l="1"/>
  <c r="AE8" i="4"/>
  <c r="W7" i="4"/>
  <c r="AE7" i="4"/>
  <c r="W6" i="4"/>
  <c r="AE6" i="4"/>
  <c r="U9" i="4"/>
  <c r="U10" i="4"/>
  <c r="U11" i="4"/>
  <c r="U12" i="4"/>
  <c r="U13" i="4"/>
  <c r="U14" i="4"/>
  <c r="U15" i="4"/>
  <c r="U16" i="4"/>
  <c r="U17" i="4"/>
  <c r="U18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50" i="4"/>
  <c r="U64" i="4"/>
  <c r="U56" i="4"/>
  <c r="U55" i="4"/>
  <c r="U58" i="4"/>
  <c r="U53" i="4"/>
  <c r="U52" i="4"/>
  <c r="U49" i="4"/>
  <c r="U60" i="4"/>
  <c r="N40" i="4"/>
  <c r="N39" i="4"/>
  <c r="N41" i="4"/>
  <c r="W51" i="4" s="1"/>
  <c r="N42" i="4"/>
  <c r="AO51" i="4" s="1"/>
  <c r="N44" i="4"/>
  <c r="N45" i="4"/>
  <c r="AL51" i="4" s="1"/>
  <c r="N43" i="4"/>
  <c r="N48" i="4"/>
  <c r="N50" i="4"/>
  <c r="S3" i="4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L3" i="4" s="1"/>
  <c r="AM3" i="4" s="1"/>
  <c r="AN3" i="4" s="1"/>
  <c r="AO3" i="4" s="1"/>
  <c r="R4" i="4"/>
  <c r="BG67" i="4"/>
  <c r="BG68" i="4"/>
  <c r="BG69" i="4"/>
  <c r="BG70" i="4"/>
  <c r="BG71" i="4"/>
  <c r="AM51" i="4"/>
  <c r="AK51" i="4"/>
  <c r="AN51" i="4"/>
  <c r="AM29" i="4"/>
  <c r="E40" i="4"/>
  <c r="E43" i="4"/>
  <c r="E48" i="4"/>
  <c r="E50" i="4"/>
  <c r="E39" i="4"/>
  <c r="E41" i="4"/>
  <c r="E42" i="4"/>
  <c r="E44" i="4"/>
  <c r="E45" i="4"/>
  <c r="AM31" i="4"/>
  <c r="AN31" i="4"/>
  <c r="AO31" i="4"/>
  <c r="AM33" i="4"/>
  <c r="AN33" i="4"/>
  <c r="AO33" i="4"/>
  <c r="AM32" i="4"/>
  <c r="AN32" i="4"/>
  <c r="AO32" i="4"/>
  <c r="AC43" i="4"/>
  <c r="AA43" i="4" s="1"/>
  <c r="AC39" i="4"/>
  <c r="AA39" i="4" s="1"/>
  <c r="AC48" i="4"/>
  <c r="AA48" i="4" s="1"/>
  <c r="AC41" i="4"/>
  <c r="AA41" i="4" s="1"/>
  <c r="AC50" i="4"/>
  <c r="AA50" i="4" s="1"/>
  <c r="AC42" i="4"/>
  <c r="AA42" i="4" s="1"/>
  <c r="AC44" i="4"/>
  <c r="AA44" i="4" s="1"/>
  <c r="AC45" i="4"/>
  <c r="AA45" i="4" s="1"/>
  <c r="AC46" i="4"/>
  <c r="AA46" i="4" s="1"/>
  <c r="AC40" i="4"/>
  <c r="AA40" i="4" s="1"/>
  <c r="AC47" i="4"/>
  <c r="AA47" i="4" s="1"/>
  <c r="H49" i="4"/>
  <c r="H61" i="4"/>
  <c r="H53" i="4"/>
  <c r="H56" i="4"/>
  <c r="H54" i="4"/>
  <c r="H62" i="4"/>
  <c r="H60" i="4"/>
  <c r="H64" i="4"/>
  <c r="H58" i="4"/>
  <c r="H55" i="4"/>
  <c r="H59" i="4"/>
  <c r="H63" i="4"/>
  <c r="H52" i="4"/>
  <c r="H57" i="4"/>
  <c r="G49" i="4"/>
  <c r="G53" i="4"/>
  <c r="G60" i="4"/>
  <c r="G56" i="4"/>
  <c r="G61" i="4"/>
  <c r="G64" i="4"/>
  <c r="G63" i="4"/>
  <c r="G54" i="4"/>
  <c r="G52" i="4"/>
  <c r="G58" i="4"/>
  <c r="G62" i="4"/>
  <c r="G57" i="4"/>
  <c r="G59" i="4"/>
  <c r="G55" i="4"/>
  <c r="AM26" i="4"/>
  <c r="AN26" i="4"/>
  <c r="AO26" i="4"/>
  <c r="AM24" i="4"/>
  <c r="AN24" i="4"/>
  <c r="AO24" i="4"/>
  <c r="AM25" i="4"/>
  <c r="AN25" i="4"/>
  <c r="AO25" i="4"/>
  <c r="AM21" i="4"/>
  <c r="AN21" i="4"/>
  <c r="AO21" i="4"/>
  <c r="AM23" i="4"/>
  <c r="AN23" i="4"/>
  <c r="AO23" i="4"/>
  <c r="AM27" i="4"/>
  <c r="AN27" i="4"/>
  <c r="AO27" i="4"/>
  <c r="AM28" i="4"/>
  <c r="AN28" i="4"/>
  <c r="AO28" i="4"/>
  <c r="AM30" i="4"/>
  <c r="AN30" i="4"/>
  <c r="AO30" i="4"/>
  <c r="AN29" i="4"/>
  <c r="AO29" i="4"/>
  <c r="AM19" i="4"/>
  <c r="AN19" i="4"/>
  <c r="AO19" i="4"/>
  <c r="AM22" i="4"/>
  <c r="AN22" i="4"/>
  <c r="AO22" i="4"/>
  <c r="AM34" i="4"/>
  <c r="AN34" i="4"/>
  <c r="AO34" i="4"/>
  <c r="AM20" i="4"/>
  <c r="AN20" i="4"/>
  <c r="AO20" i="4"/>
  <c r="Z8" i="4"/>
  <c r="Y8" i="4" s="1"/>
  <c r="Z7" i="4"/>
  <c r="Y7" i="4" s="1"/>
  <c r="Z6" i="4"/>
  <c r="Y6" i="4" s="1"/>
  <c r="AM54" i="4"/>
  <c r="AM62" i="4"/>
  <c r="AM63" i="4"/>
  <c r="AM61" i="4"/>
  <c r="AM57" i="4"/>
  <c r="AM50" i="4"/>
  <c r="AM59" i="4"/>
  <c r="AM44" i="4"/>
  <c r="AM47" i="4"/>
  <c r="AM43" i="4"/>
  <c r="AM39" i="4"/>
  <c r="AM42" i="4"/>
  <c r="AM46" i="4"/>
  <c r="AM41" i="4"/>
  <c r="AM45" i="4"/>
  <c r="AM48" i="4"/>
  <c r="AM40" i="4"/>
  <c r="AM8" i="4"/>
  <c r="AM7" i="4"/>
  <c r="AN47" i="4"/>
  <c r="AN39" i="4"/>
  <c r="AN44" i="4"/>
  <c r="AN6" i="4"/>
  <c r="AN43" i="4"/>
  <c r="AN54" i="4"/>
  <c r="AN59" i="4"/>
  <c r="AN45" i="4"/>
  <c r="AN57" i="4"/>
  <c r="AN50" i="4"/>
  <c r="AN8" i="4"/>
  <c r="AN61" i="4"/>
  <c r="AN41" i="4"/>
  <c r="AN40" i="4"/>
  <c r="AN7" i="4"/>
  <c r="AN46" i="4"/>
  <c r="AN63" i="4"/>
  <c r="AN62" i="4"/>
  <c r="AN42" i="4"/>
  <c r="AM6" i="4"/>
  <c r="AN48" i="4"/>
  <c r="W57" i="4" l="1"/>
  <c r="AO57" i="4"/>
  <c r="AL57" i="4"/>
  <c r="T2" i="4"/>
  <c r="AE44" i="4"/>
  <c r="AE46" i="4"/>
  <c r="AE42" i="4"/>
  <c r="AE45" i="4"/>
  <c r="AE50" i="4"/>
  <c r="AE41" i="4"/>
  <c r="AE48" i="4"/>
  <c r="AE39" i="4"/>
  <c r="AE43" i="4"/>
  <c r="AE47" i="4"/>
  <c r="AE40" i="4"/>
  <c r="W63" i="4"/>
  <c r="AL63" i="4"/>
  <c r="AO63" i="4"/>
  <c r="AO62" i="4"/>
  <c r="S2" i="4"/>
  <c r="AI51" i="4"/>
  <c r="AH6" i="4"/>
  <c r="AH7" i="4"/>
  <c r="AH39" i="4"/>
  <c r="AH19" i="4"/>
  <c r="AH24" i="4"/>
  <c r="AH21" i="4"/>
  <c r="AH8" i="4"/>
  <c r="AH43" i="4"/>
  <c r="AH29" i="4"/>
  <c r="AH26" i="4"/>
  <c r="AH34" i="4"/>
  <c r="AH25" i="4"/>
  <c r="AH40" i="4"/>
  <c r="AH47" i="4"/>
  <c r="AH30" i="4"/>
  <c r="AH32" i="4"/>
  <c r="AH48" i="4"/>
  <c r="AH44" i="4"/>
  <c r="AH28" i="4"/>
  <c r="AH33" i="4"/>
  <c r="AH46" i="4"/>
  <c r="AH45" i="4"/>
  <c r="AH50" i="4"/>
  <c r="AH27" i="4"/>
  <c r="AH31" i="4"/>
  <c r="AH42" i="4"/>
  <c r="AH41" i="4"/>
  <c r="AH20" i="4"/>
  <c r="AH23" i="4"/>
  <c r="AH22" i="4"/>
  <c r="AC14" i="4"/>
  <c r="AA14" i="4" s="1"/>
  <c r="AC38" i="4"/>
  <c r="AA38" i="4" s="1"/>
  <c r="AC60" i="4"/>
  <c r="AA60" i="4" s="1"/>
  <c r="AC64" i="4"/>
  <c r="AA64" i="4" s="1"/>
  <c r="AC9" i="4"/>
  <c r="AA9" i="4" s="1"/>
  <c r="AC18" i="4"/>
  <c r="AA18" i="4" s="1"/>
  <c r="AC15" i="4"/>
  <c r="AA15" i="4" s="1"/>
  <c r="AC37" i="4"/>
  <c r="AA37" i="4" s="1"/>
  <c r="AC16" i="4"/>
  <c r="AA16" i="4" s="1"/>
  <c r="AC56" i="4"/>
  <c r="AA56" i="4" s="1"/>
  <c r="AC10" i="4"/>
  <c r="AA10" i="4" s="1"/>
  <c r="AC36" i="4"/>
  <c r="AA36" i="4" s="1"/>
  <c r="AC49" i="4"/>
  <c r="AA49" i="4" s="1"/>
  <c r="AC17" i="4"/>
  <c r="AA17" i="4" s="1"/>
  <c r="AC55" i="4"/>
  <c r="AA55" i="4" s="1"/>
  <c r="AC58" i="4"/>
  <c r="AA58" i="4" s="1"/>
  <c r="AC13" i="4"/>
  <c r="AA13" i="4" s="1"/>
  <c r="AC11" i="4"/>
  <c r="AA11" i="4" s="1"/>
  <c r="AC35" i="4"/>
  <c r="AA35" i="4" s="1"/>
  <c r="AC53" i="4"/>
  <c r="AA53" i="4" s="1"/>
  <c r="AC52" i="4"/>
  <c r="AA52" i="4" s="1"/>
  <c r="AC12" i="4"/>
  <c r="AA12" i="4" s="1"/>
  <c r="AK57" i="4"/>
  <c r="AI57" i="4" s="1"/>
  <c r="Z44" i="4"/>
  <c r="Y44" i="4" s="1"/>
  <c r="Z43" i="4"/>
  <c r="Y43" i="4" s="1"/>
  <c r="AM10" i="4"/>
  <c r="AM18" i="4"/>
  <c r="AM58" i="4"/>
  <c r="AE58" i="4"/>
  <c r="Z58" i="4"/>
  <c r="Y58" i="4" s="1"/>
  <c r="AM16" i="4"/>
  <c r="Z46" i="4"/>
  <c r="Y46" i="4" s="1"/>
  <c r="Z47" i="4"/>
  <c r="Y47" i="4" s="1"/>
  <c r="AM11" i="4"/>
  <c r="AM35" i="4"/>
  <c r="AM53" i="4"/>
  <c r="AE53" i="4"/>
  <c r="Z53" i="4"/>
  <c r="Y53" i="4" s="1"/>
  <c r="Z42" i="4"/>
  <c r="Y42" i="4" s="1"/>
  <c r="Z40" i="4"/>
  <c r="Y40" i="4" s="1"/>
  <c r="AM12" i="4"/>
  <c r="AM36" i="4"/>
  <c r="AM52" i="4"/>
  <c r="AE52" i="4"/>
  <c r="Z52" i="4"/>
  <c r="Y52" i="4" s="1"/>
  <c r="AM37" i="4"/>
  <c r="AM38" i="4"/>
  <c r="AM15" i="4"/>
  <c r="Z48" i="4"/>
  <c r="Y48" i="4" s="1"/>
  <c r="Z39" i="4"/>
  <c r="Y39" i="4" s="1"/>
  <c r="Z45" i="4"/>
  <c r="Y45" i="4" s="1"/>
  <c r="AM13" i="4"/>
  <c r="AE49" i="4"/>
  <c r="Z49" i="4" s="1"/>
  <c r="Y49" i="4" s="1"/>
  <c r="AM14" i="4"/>
  <c r="AM60" i="4"/>
  <c r="AE60" i="4"/>
  <c r="Z60" i="4"/>
  <c r="Y60" i="4" s="1"/>
  <c r="AM56" i="4"/>
  <c r="AE56" i="4"/>
  <c r="Z56" i="4"/>
  <c r="Y56" i="4" s="1"/>
  <c r="AM17" i="4"/>
  <c r="Z50" i="4"/>
  <c r="Y50" i="4" s="1"/>
  <c r="AM64" i="4"/>
  <c r="AE64" i="4"/>
  <c r="Z64" i="4"/>
  <c r="Y64" i="4" s="1"/>
  <c r="AM55" i="4"/>
  <c r="AE55" i="4"/>
  <c r="Z55" i="4"/>
  <c r="Y55" i="4" s="1"/>
  <c r="Z41" i="4"/>
  <c r="Y41" i="4" s="1"/>
  <c r="AM9" i="4"/>
  <c r="AN53" i="4"/>
  <c r="AN18" i="4"/>
  <c r="AN9" i="4"/>
  <c r="AM49" i="4"/>
  <c r="AN38" i="4"/>
  <c r="AN58" i="4"/>
  <c r="AN15" i="4"/>
  <c r="AN35" i="4"/>
  <c r="AN14" i="4"/>
  <c r="AN49" i="4"/>
  <c r="AN11" i="4"/>
  <c r="AN55" i="4"/>
  <c r="AN60" i="4"/>
  <c r="AN37" i="4"/>
  <c r="AN13" i="4"/>
  <c r="AN10" i="4"/>
  <c r="AN56" i="4"/>
  <c r="AN12" i="4"/>
  <c r="AN16" i="4"/>
  <c r="AK63" i="4"/>
  <c r="AN36" i="4"/>
  <c r="AN17" i="4"/>
  <c r="AN64" i="4"/>
  <c r="AN52" i="4"/>
  <c r="U2" i="4" l="1"/>
  <c r="AE9" i="4"/>
  <c r="AE17" i="4"/>
  <c r="AE14" i="4"/>
  <c r="AE13" i="4"/>
  <c r="AE15" i="4"/>
  <c r="AE38" i="4"/>
  <c r="AE37" i="4"/>
  <c r="AE36" i="4"/>
  <c r="AE12" i="4"/>
  <c r="AE35" i="4"/>
  <c r="AE11" i="4"/>
  <c r="AE16" i="4"/>
  <c r="AE18" i="4"/>
  <c r="AE10" i="4"/>
  <c r="N11" i="4"/>
  <c r="N12" i="4"/>
  <c r="N13" i="4"/>
  <c r="N14" i="4"/>
  <c r="N15" i="4"/>
  <c r="N38" i="4"/>
  <c r="N10" i="4"/>
  <c r="AH51" i="4"/>
  <c r="X22" i="4"/>
  <c r="X45" i="4"/>
  <c r="X47" i="4"/>
  <c r="X21" i="4"/>
  <c r="X23" i="4"/>
  <c r="X46" i="4"/>
  <c r="X40" i="4"/>
  <c r="X24" i="4"/>
  <c r="X20" i="4"/>
  <c r="X33" i="4"/>
  <c r="X25" i="4"/>
  <c r="X19" i="4"/>
  <c r="X41" i="4"/>
  <c r="X28" i="4"/>
  <c r="X34" i="4"/>
  <c r="X39" i="4"/>
  <c r="X42" i="4"/>
  <c r="X44" i="4"/>
  <c r="X26" i="4"/>
  <c r="X7" i="4"/>
  <c r="X31" i="4"/>
  <c r="X48" i="4"/>
  <c r="X29" i="4"/>
  <c r="X6" i="4"/>
  <c r="X27" i="4"/>
  <c r="X32" i="4"/>
  <c r="X43" i="4"/>
  <c r="X50" i="4"/>
  <c r="X30" i="4"/>
  <c r="X8" i="4"/>
  <c r="AH49" i="4"/>
  <c r="AH36" i="4"/>
  <c r="AH9" i="4"/>
  <c r="AH12" i="4"/>
  <c r="AH38" i="4"/>
  <c r="AH57" i="4"/>
  <c r="AH17" i="4"/>
  <c r="AH35" i="4"/>
  <c r="AH14" i="4"/>
  <c r="AH11" i="4"/>
  <c r="AH13" i="4"/>
  <c r="AH16" i="4"/>
  <c r="AH10" i="4"/>
  <c r="AH37" i="4"/>
  <c r="AH15" i="4"/>
  <c r="AH18" i="4"/>
  <c r="W29" i="4"/>
  <c r="E12" i="4"/>
  <c r="E10" i="4"/>
  <c r="E13" i="4"/>
  <c r="E11" i="4"/>
  <c r="E14" i="4"/>
  <c r="E15" i="4"/>
  <c r="E38" i="4"/>
  <c r="Z9" i="4"/>
  <c r="Y9" i="4" s="1"/>
  <c r="Z12" i="4"/>
  <c r="Y12" i="4" s="1"/>
  <c r="Z17" i="4"/>
  <c r="Y17" i="4" s="1"/>
  <c r="Z35" i="4"/>
  <c r="Y35" i="4" s="1"/>
  <c r="Z14" i="4"/>
  <c r="Y14" i="4" s="1"/>
  <c r="Z11" i="4"/>
  <c r="Y11" i="4" s="1"/>
  <c r="Z13" i="4"/>
  <c r="Y13" i="4" s="1"/>
  <c r="Z16" i="4"/>
  <c r="Y16" i="4" s="1"/>
  <c r="Z15" i="4"/>
  <c r="Y15" i="4" s="1"/>
  <c r="Z18" i="4"/>
  <c r="Y18" i="4" s="1"/>
  <c r="Z38" i="4"/>
  <c r="Y38" i="4" s="1"/>
  <c r="Z10" i="4"/>
  <c r="Y10" i="4" s="1"/>
  <c r="Z37" i="4"/>
  <c r="Y37" i="4" s="1"/>
  <c r="Z36" i="4"/>
  <c r="Y36" i="4" s="1"/>
  <c r="AI63" i="4"/>
  <c r="AO44" i="4"/>
  <c r="AO47" i="4"/>
  <c r="AO16" i="4"/>
  <c r="AO6" i="4"/>
  <c r="AO46" i="4"/>
  <c r="AO15" i="4"/>
  <c r="AO43" i="4"/>
  <c r="AO12" i="4"/>
  <c r="AO36" i="4"/>
  <c r="AO18" i="4"/>
  <c r="AO9" i="4"/>
  <c r="W49" i="4"/>
  <c r="AO42" i="4"/>
  <c r="AO13" i="4"/>
  <c r="AO49" i="4"/>
  <c r="AO14" i="4"/>
  <c r="AO10" i="4"/>
  <c r="AO8" i="4"/>
  <c r="AO39" i="4"/>
  <c r="AO7" i="4"/>
  <c r="AO48" i="4"/>
  <c r="AO38" i="4"/>
  <c r="AO35" i="4"/>
  <c r="AO50" i="4"/>
  <c r="AO11" i="4"/>
  <c r="AO40" i="4"/>
  <c r="AO17" i="4"/>
  <c r="AO41" i="4"/>
  <c r="AO37" i="4"/>
  <c r="AO45" i="4"/>
  <c r="V2" i="4" l="1"/>
  <c r="AO59" i="4"/>
  <c r="AO60" i="4"/>
  <c r="AO52" i="4"/>
  <c r="AO56" i="4"/>
  <c r="AO54" i="4"/>
  <c r="AO58" i="4"/>
  <c r="AO64" i="4"/>
  <c r="AO53" i="4"/>
  <c r="AO61" i="4"/>
  <c r="AO55" i="4"/>
  <c r="W58" i="4"/>
  <c r="W53" i="4"/>
  <c r="W59" i="4"/>
  <c r="W54" i="4"/>
  <c r="W55" i="4"/>
  <c r="W61" i="4"/>
  <c r="W62" i="4"/>
  <c r="W60" i="4"/>
  <c r="W52" i="4"/>
  <c r="W56" i="4"/>
  <c r="W64" i="4"/>
  <c r="X51" i="4"/>
  <c r="X18" i="4"/>
  <c r="X35" i="4"/>
  <c r="X14" i="4"/>
  <c r="X15" i="4"/>
  <c r="X17" i="4"/>
  <c r="X11" i="4"/>
  <c r="X37" i="4"/>
  <c r="X57" i="4"/>
  <c r="X10" i="4"/>
  <c r="X38" i="4"/>
  <c r="X36" i="4"/>
  <c r="X16" i="4"/>
  <c r="X12" i="4"/>
  <c r="X49" i="4"/>
  <c r="X13" i="4"/>
  <c r="X9" i="4"/>
  <c r="AH63" i="4"/>
  <c r="V31" i="4"/>
  <c r="V33" i="4"/>
  <c r="V32" i="4"/>
  <c r="V26" i="4"/>
  <c r="V24" i="4"/>
  <c r="V25" i="4"/>
  <c r="V21" i="4"/>
  <c r="V23" i="4"/>
  <c r="V27" i="4"/>
  <c r="V28" i="4"/>
  <c r="V30" i="4"/>
  <c r="V29" i="4"/>
  <c r="V19" i="4"/>
  <c r="V22" i="4"/>
  <c r="V34" i="4"/>
  <c r="V20" i="4"/>
  <c r="V43" i="4"/>
  <c r="V6" i="4"/>
  <c r="V16" i="4"/>
  <c r="V39" i="4"/>
  <c r="V48" i="4"/>
  <c r="V50" i="4"/>
  <c r="V7" i="4"/>
  <c r="V35" i="4"/>
  <c r="V47" i="4"/>
  <c r="V9" i="4"/>
  <c r="V57" i="4"/>
  <c r="V46" i="4"/>
  <c r="V12" i="4"/>
  <c r="V11" i="4"/>
  <c r="V37" i="4"/>
  <c r="V42" i="4"/>
  <c r="V14" i="4"/>
  <c r="V36" i="4"/>
  <c r="V18" i="4"/>
  <c r="V8" i="4"/>
  <c r="V10" i="4"/>
  <c r="V15" i="4"/>
  <c r="V41" i="4"/>
  <c r="V44" i="4"/>
  <c r="V40" i="4"/>
  <c r="V45" i="4"/>
  <c r="V38" i="4"/>
  <c r="V17" i="4"/>
  <c r="V13" i="4"/>
  <c r="T31" i="4" l="1"/>
  <c r="T33" i="4"/>
  <c r="T32" i="4"/>
  <c r="T26" i="4"/>
  <c r="T24" i="4"/>
  <c r="T25" i="4"/>
  <c r="T21" i="4"/>
  <c r="T23" i="4"/>
  <c r="T27" i="4"/>
  <c r="T28" i="4"/>
  <c r="T30" i="4"/>
  <c r="T29" i="4"/>
  <c r="T19" i="4"/>
  <c r="T22" i="4"/>
  <c r="T34" i="4"/>
  <c r="T20" i="4"/>
  <c r="W2" i="4"/>
  <c r="AT60" i="4"/>
  <c r="BG62" i="4"/>
  <c r="BG61" i="4"/>
  <c r="BF64" i="4"/>
  <c r="BF65" i="4"/>
  <c r="AV60" i="4"/>
  <c r="BI62" i="4"/>
  <c r="BI61" i="4"/>
  <c r="BH64" i="4"/>
  <c r="BH65" i="4"/>
  <c r="BN66" i="4"/>
  <c r="BN67" i="4"/>
  <c r="BN68" i="4"/>
  <c r="BN69" i="4"/>
  <c r="BN70" i="4"/>
  <c r="BN71" i="4"/>
  <c r="BN72" i="4"/>
  <c r="V51" i="4"/>
  <c r="X63" i="4"/>
  <c r="S31" i="4"/>
  <c r="S33" i="4"/>
  <c r="S32" i="4"/>
  <c r="S26" i="4"/>
  <c r="S24" i="4"/>
  <c r="S25" i="4"/>
  <c r="S21" i="4"/>
  <c r="S23" i="4"/>
  <c r="S27" i="4"/>
  <c r="S28" i="4"/>
  <c r="S30" i="4"/>
  <c r="S29" i="4"/>
  <c r="S19" i="4"/>
  <c r="S22" i="4"/>
  <c r="S34" i="4"/>
  <c r="S20" i="4"/>
  <c r="V49" i="4"/>
  <c r="T51" i="4" l="1"/>
  <c r="X2" i="4"/>
  <c r="K144" i="1"/>
  <c r="K145" i="1"/>
  <c r="K46" i="1"/>
  <c r="K49" i="1"/>
  <c r="K50" i="1"/>
  <c r="K56" i="1"/>
  <c r="K54" i="1"/>
  <c r="K38" i="1"/>
  <c r="K44" i="1"/>
  <c r="K45" i="1"/>
  <c r="K42" i="1"/>
  <c r="K39" i="1"/>
  <c r="K41" i="1"/>
  <c r="K58" i="1"/>
  <c r="K64" i="1"/>
  <c r="K65" i="1"/>
  <c r="K63" i="1"/>
  <c r="K68" i="1"/>
  <c r="K93" i="1"/>
  <c r="E93" i="1"/>
  <c r="C93" i="1" s="1"/>
  <c r="P93" i="1"/>
  <c r="O93" i="1" s="1"/>
  <c r="N93" i="1" s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4" i="6"/>
  <c r="C4" i="5"/>
  <c r="L144" i="1"/>
  <c r="L145" i="1"/>
  <c r="E12" i="6" a="1"/>
  <c r="E12" i="6" s="1"/>
  <c r="E11" i="6" a="1"/>
  <c r="E11" i="6" s="1"/>
  <c r="E4" i="6" a="1"/>
  <c r="E4" i="6" s="1"/>
  <c r="E14" i="6" a="1"/>
  <c r="E14" i="6" s="1"/>
  <c r="S51" i="4"/>
  <c r="V63" i="4"/>
  <c r="N51" i="4" l="1"/>
  <c r="Y2" i="4"/>
  <c r="T40" i="4"/>
  <c r="T44" i="4"/>
  <c r="T47" i="4"/>
  <c r="T48" i="4"/>
  <c r="T46" i="4"/>
  <c r="T42" i="4"/>
  <c r="T50" i="4"/>
  <c r="T39" i="4"/>
  <c r="T43" i="4"/>
  <c r="T45" i="4"/>
  <c r="T41" i="4"/>
  <c r="B93" i="1"/>
  <c r="M93" i="1"/>
  <c r="L93" i="1" s="1"/>
  <c r="B58" i="1"/>
  <c r="C58" i="1"/>
  <c r="P58" i="1"/>
  <c r="O58" i="1" s="1"/>
  <c r="N58" i="1" s="1"/>
  <c r="B38" i="1"/>
  <c r="C38" i="1"/>
  <c r="P38" i="1"/>
  <c r="M38" i="1" s="1"/>
  <c r="L38" i="1" s="1"/>
  <c r="B59" i="1"/>
  <c r="C59" i="1"/>
  <c r="H59" i="1"/>
  <c r="B61" i="1"/>
  <c r="C61" i="1"/>
  <c r="H61" i="1"/>
  <c r="B63" i="1"/>
  <c r="C63" i="1"/>
  <c r="B67" i="1"/>
  <c r="C67" i="1"/>
  <c r="H67" i="1"/>
  <c r="B60" i="1"/>
  <c r="C60" i="1"/>
  <c r="H60" i="1"/>
  <c r="P63" i="1"/>
  <c r="O63" i="1" s="1"/>
  <c r="N63" i="1" s="1"/>
  <c r="H66" i="1"/>
  <c r="H62" i="1"/>
  <c r="B62" i="1"/>
  <c r="C62" i="1"/>
  <c r="B66" i="1"/>
  <c r="C66" i="1"/>
  <c r="P64" i="1"/>
  <c r="O64" i="1" s="1"/>
  <c r="N64" i="1" s="1"/>
  <c r="B64" i="1"/>
  <c r="C64" i="1"/>
  <c r="B65" i="1"/>
  <c r="C65" i="1"/>
  <c r="P65" i="1"/>
  <c r="O65" i="1" s="1"/>
  <c r="N65" i="1" s="1"/>
  <c r="H40" i="1"/>
  <c r="B40" i="1"/>
  <c r="C40" i="1"/>
  <c r="B41" i="1"/>
  <c r="C41" i="1"/>
  <c r="P41" i="1"/>
  <c r="M41" i="1" s="1"/>
  <c r="L41" i="1" s="1"/>
  <c r="B45" i="1"/>
  <c r="C45" i="1"/>
  <c r="P45" i="1"/>
  <c r="M45" i="1" s="1"/>
  <c r="L45" i="1" s="1"/>
  <c r="B42" i="1"/>
  <c r="C42" i="1"/>
  <c r="P42" i="1"/>
  <c r="M42" i="1" s="1"/>
  <c r="L42" i="1" s="1"/>
  <c r="B39" i="1"/>
  <c r="C39" i="1"/>
  <c r="P39" i="1"/>
  <c r="O39" i="1" s="1"/>
  <c r="N39" i="1" s="1"/>
  <c r="H43" i="1"/>
  <c r="B44" i="1"/>
  <c r="C44" i="1"/>
  <c r="P44" i="1"/>
  <c r="M44" i="1" s="1"/>
  <c r="L44" i="1" s="1"/>
  <c r="E68" i="1"/>
  <c r="B68" i="1" s="1"/>
  <c r="P68" i="1"/>
  <c r="O68" i="1" s="1"/>
  <c r="N68" i="1" s="1"/>
  <c r="E46" i="1"/>
  <c r="B46" i="1" s="1"/>
  <c r="P46" i="1"/>
  <c r="O46" i="1" s="1"/>
  <c r="N46" i="1" s="1"/>
  <c r="B50" i="1"/>
  <c r="C50" i="1"/>
  <c r="P50" i="1"/>
  <c r="M50" i="1" s="1"/>
  <c r="L50" i="1" s="1"/>
  <c r="B56" i="1"/>
  <c r="C56" i="1"/>
  <c r="P56" i="1"/>
  <c r="M56" i="1" s="1"/>
  <c r="L56" i="1" s="1"/>
  <c r="B54" i="1"/>
  <c r="C54" i="1"/>
  <c r="P54" i="1"/>
  <c r="M54" i="1" s="1"/>
  <c r="L54" i="1" s="1"/>
  <c r="B43" i="1"/>
  <c r="C43" i="1"/>
  <c r="B49" i="1"/>
  <c r="P49" i="1"/>
  <c r="M49" i="1" s="1"/>
  <c r="L49" i="1" s="1"/>
  <c r="E51" i="4"/>
  <c r="S48" i="4"/>
  <c r="S42" i="4"/>
  <c r="S44" i="4"/>
  <c r="S47" i="4"/>
  <c r="S50" i="4"/>
  <c r="S43" i="4"/>
  <c r="S45" i="4"/>
  <c r="S46" i="4"/>
  <c r="S40" i="4"/>
  <c r="S39" i="4"/>
  <c r="S41" i="4"/>
  <c r="Z2" i="4" l="1"/>
  <c r="T38" i="4"/>
  <c r="T12" i="4"/>
  <c r="T35" i="4"/>
  <c r="T10" i="4"/>
  <c r="T16" i="4"/>
  <c r="T36" i="4"/>
  <c r="T18" i="4"/>
  <c r="T37" i="4"/>
  <c r="T13" i="4"/>
  <c r="T9" i="4"/>
  <c r="T11" i="4"/>
  <c r="T17" i="4"/>
  <c r="T14" i="4"/>
  <c r="T15" i="4"/>
  <c r="P67" i="1"/>
  <c r="M67" i="1" s="1"/>
  <c r="L67" i="1" s="1"/>
  <c r="K67" i="1"/>
  <c r="P59" i="1"/>
  <c r="M59" i="1" s="1"/>
  <c r="L59" i="1" s="1"/>
  <c r="K59" i="1"/>
  <c r="P66" i="1"/>
  <c r="O66" i="1" s="1"/>
  <c r="N66" i="1" s="1"/>
  <c r="K66" i="1"/>
  <c r="P61" i="1"/>
  <c r="M61" i="1" s="1"/>
  <c r="L61" i="1" s="1"/>
  <c r="K61" i="1"/>
  <c r="P60" i="1"/>
  <c r="O60" i="1" s="1"/>
  <c r="N60" i="1" s="1"/>
  <c r="K60" i="1"/>
  <c r="P40" i="1"/>
  <c r="M40" i="1" s="1"/>
  <c r="L40" i="1" s="1"/>
  <c r="K40" i="1"/>
  <c r="P43" i="1"/>
  <c r="M43" i="1" s="1"/>
  <c r="L43" i="1" s="1"/>
  <c r="K43" i="1"/>
  <c r="P62" i="1"/>
  <c r="O62" i="1" s="1"/>
  <c r="N62" i="1" s="1"/>
  <c r="K62" i="1"/>
  <c r="M58" i="1"/>
  <c r="L58" i="1" s="1"/>
  <c r="O38" i="1"/>
  <c r="N38" i="1" s="1"/>
  <c r="M63" i="1"/>
  <c r="L63" i="1" s="1"/>
  <c r="M65" i="1"/>
  <c r="L65" i="1" s="1"/>
  <c r="M64" i="1"/>
  <c r="L64" i="1" s="1"/>
  <c r="O41" i="1"/>
  <c r="N41" i="1" s="1"/>
  <c r="O45" i="1"/>
  <c r="N45" i="1" s="1"/>
  <c r="O42" i="1"/>
  <c r="N42" i="1" s="1"/>
  <c r="M39" i="1"/>
  <c r="L39" i="1" s="1"/>
  <c r="O44" i="1"/>
  <c r="N44" i="1" s="1"/>
  <c r="M68" i="1"/>
  <c r="L68" i="1" s="1"/>
  <c r="C68" i="1"/>
  <c r="C46" i="1"/>
  <c r="M46" i="1"/>
  <c r="L46" i="1" s="1"/>
  <c r="O50" i="1"/>
  <c r="N50" i="1" s="1"/>
  <c r="O56" i="1"/>
  <c r="N56" i="1" s="1"/>
  <c r="O54" i="1"/>
  <c r="N54" i="1" s="1"/>
  <c r="O49" i="1"/>
  <c r="N49" i="1" s="1"/>
  <c r="C49" i="1"/>
  <c r="P3" i="1"/>
  <c r="O3" i="1" s="1"/>
  <c r="P4" i="1"/>
  <c r="O4" i="1" s="1"/>
  <c r="P5" i="1"/>
  <c r="O5" i="1" s="1"/>
  <c r="P6" i="1"/>
  <c r="O6" i="1" s="1"/>
  <c r="P7" i="1"/>
  <c r="M7" i="1" s="1"/>
  <c r="L7" i="1" s="1"/>
  <c r="P8" i="1"/>
  <c r="M8" i="1" s="1"/>
  <c r="L8" i="1" s="1"/>
  <c r="P12" i="1"/>
  <c r="O12" i="1" s="1"/>
  <c r="P24" i="1"/>
  <c r="M24" i="1" s="1"/>
  <c r="L24" i="1" s="1"/>
  <c r="P26" i="1"/>
  <c r="O26" i="1" s="1"/>
  <c r="P27" i="1"/>
  <c r="O27" i="1" s="1"/>
  <c r="P29" i="1"/>
  <c r="O29" i="1" s="1"/>
  <c r="P30" i="1"/>
  <c r="O30" i="1" s="1"/>
  <c r="P31" i="1"/>
  <c r="M31" i="1" s="1"/>
  <c r="L31" i="1" s="1"/>
  <c r="P32" i="1"/>
  <c r="M32" i="1" s="1"/>
  <c r="L32" i="1" s="1"/>
  <c r="P33" i="1"/>
  <c r="M33" i="1" s="1"/>
  <c r="L33" i="1" s="1"/>
  <c r="P34" i="1"/>
  <c r="O34" i="1" s="1"/>
  <c r="P35" i="1"/>
  <c r="O35" i="1" s="1"/>
  <c r="P36" i="1"/>
  <c r="O36" i="1" s="1"/>
  <c r="P37" i="1"/>
  <c r="O37" i="1" s="1"/>
  <c r="P48" i="1"/>
  <c r="O48" i="1" s="1"/>
  <c r="P47" i="1"/>
  <c r="M47" i="1" s="1"/>
  <c r="L47" i="1" s="1"/>
  <c r="P51" i="1"/>
  <c r="M51" i="1" s="1"/>
  <c r="L51" i="1" s="1"/>
  <c r="P52" i="1"/>
  <c r="M52" i="1" s="1"/>
  <c r="L52" i="1" s="1"/>
  <c r="P53" i="1"/>
  <c r="O53" i="1" s="1"/>
  <c r="P55" i="1"/>
  <c r="M55" i="1" s="1"/>
  <c r="L55" i="1" s="1"/>
  <c r="P69" i="1"/>
  <c r="O69" i="1" s="1"/>
  <c r="P70" i="1"/>
  <c r="O70" i="1" s="1"/>
  <c r="P71" i="1"/>
  <c r="O71" i="1" s="1"/>
  <c r="P72" i="1"/>
  <c r="M72" i="1" s="1"/>
  <c r="L72" i="1" s="1"/>
  <c r="P73" i="1"/>
  <c r="M73" i="1" s="1"/>
  <c r="L73" i="1" s="1"/>
  <c r="H75" i="1"/>
  <c r="H76" i="1"/>
  <c r="H77" i="1"/>
  <c r="H78" i="1"/>
  <c r="H79" i="1"/>
  <c r="H80" i="1"/>
  <c r="H81" i="1"/>
  <c r="H82" i="1"/>
  <c r="H83" i="1"/>
  <c r="H84" i="1"/>
  <c r="H85" i="1"/>
  <c r="H87" i="1"/>
  <c r="H88" i="1"/>
  <c r="H89" i="1"/>
  <c r="H90" i="1"/>
  <c r="H91" i="1"/>
  <c r="H92" i="1"/>
  <c r="H94" i="1"/>
  <c r="H95" i="1"/>
  <c r="H96" i="1"/>
  <c r="H97" i="1"/>
  <c r="H98" i="1"/>
  <c r="H99" i="1"/>
  <c r="H100" i="1"/>
  <c r="H101" i="1"/>
  <c r="H102" i="1"/>
  <c r="H103" i="1"/>
  <c r="H104" i="1"/>
  <c r="H106" i="1"/>
  <c r="H107" i="1"/>
  <c r="H113" i="1"/>
  <c r="H108" i="1"/>
  <c r="H109" i="1"/>
  <c r="H110" i="1"/>
  <c r="H115" i="1"/>
  <c r="H116" i="1"/>
  <c r="H111" i="1"/>
  <c r="H114" i="1"/>
  <c r="H112" i="1"/>
  <c r="H118" i="1"/>
  <c r="H119" i="1"/>
  <c r="H120" i="1"/>
  <c r="H121" i="1"/>
  <c r="H122" i="1"/>
  <c r="H123" i="1"/>
  <c r="H124" i="1"/>
  <c r="H125" i="1"/>
  <c r="H132" i="1"/>
  <c r="H126" i="1"/>
  <c r="H129" i="1"/>
  <c r="H130" i="1"/>
  <c r="H127" i="1"/>
  <c r="H131" i="1"/>
  <c r="H128" i="1"/>
  <c r="H133" i="1"/>
  <c r="H134" i="1"/>
  <c r="H135" i="1"/>
  <c r="H142" i="1"/>
  <c r="H139" i="1"/>
  <c r="H140" i="1"/>
  <c r="H137" i="1"/>
  <c r="H141" i="1"/>
  <c r="H143" i="1"/>
  <c r="H138" i="1"/>
  <c r="H57" i="1"/>
  <c r="H28" i="1"/>
  <c r="H25" i="1"/>
  <c r="H14" i="1"/>
  <c r="H15" i="1"/>
  <c r="H16" i="1"/>
  <c r="H17" i="1"/>
  <c r="H18" i="1"/>
  <c r="H19" i="1"/>
  <c r="H20" i="1"/>
  <c r="H21" i="1"/>
  <c r="H22" i="1"/>
  <c r="H23" i="1"/>
  <c r="H13" i="1"/>
  <c r="H10" i="1"/>
  <c r="H11" i="1"/>
  <c r="H9" i="1"/>
  <c r="E3" i="1"/>
  <c r="E4" i="1"/>
  <c r="E5" i="1"/>
  <c r="E6" i="1"/>
  <c r="E7" i="1"/>
  <c r="E8" i="1"/>
  <c r="E9" i="1"/>
  <c r="B9" i="1" s="1"/>
  <c r="E10" i="1"/>
  <c r="C10" i="1" s="1"/>
  <c r="E11" i="1"/>
  <c r="C11" i="1" s="1"/>
  <c r="E12" i="1"/>
  <c r="E13" i="1"/>
  <c r="B13" i="1" s="1"/>
  <c r="E14" i="1"/>
  <c r="B14" i="1" s="1"/>
  <c r="E15" i="1"/>
  <c r="C15" i="1" s="1"/>
  <c r="E16" i="1"/>
  <c r="C16" i="1" s="1"/>
  <c r="E17" i="1"/>
  <c r="B17" i="1" s="1"/>
  <c r="E18" i="1"/>
  <c r="C18" i="1" s="1"/>
  <c r="E19" i="1"/>
  <c r="C19" i="1" s="1"/>
  <c r="E20" i="1"/>
  <c r="C20" i="1" s="1"/>
  <c r="E21" i="1"/>
  <c r="B21" i="1" s="1"/>
  <c r="E22" i="1"/>
  <c r="B22" i="1" s="1"/>
  <c r="E23" i="1"/>
  <c r="B23" i="1" s="1"/>
  <c r="E24" i="1"/>
  <c r="E25" i="1"/>
  <c r="B25" i="1" s="1"/>
  <c r="E26" i="1"/>
  <c r="E27" i="1"/>
  <c r="E28" i="1"/>
  <c r="C28" i="1" s="1"/>
  <c r="E29" i="1"/>
  <c r="E30" i="1"/>
  <c r="E31" i="1"/>
  <c r="E32" i="1"/>
  <c r="E33" i="1"/>
  <c r="E34" i="1"/>
  <c r="E35" i="1"/>
  <c r="E36" i="1"/>
  <c r="E37" i="1"/>
  <c r="E48" i="1"/>
  <c r="E47" i="1"/>
  <c r="E51" i="1"/>
  <c r="E52" i="1"/>
  <c r="E53" i="1"/>
  <c r="E55" i="1"/>
  <c r="E57" i="1"/>
  <c r="C57" i="1" s="1"/>
  <c r="E69" i="1"/>
  <c r="E70" i="1"/>
  <c r="E71" i="1"/>
  <c r="E72" i="1"/>
  <c r="E73" i="1"/>
  <c r="E75" i="1"/>
  <c r="C75" i="1" s="1"/>
  <c r="E76" i="1"/>
  <c r="C76" i="1" s="1"/>
  <c r="E77" i="1"/>
  <c r="B77" i="1" s="1"/>
  <c r="E78" i="1"/>
  <c r="B78" i="1" s="1"/>
  <c r="E79" i="1"/>
  <c r="C79" i="1" s="1"/>
  <c r="E80" i="1"/>
  <c r="C80" i="1" s="1"/>
  <c r="E81" i="1"/>
  <c r="B81" i="1" s="1"/>
  <c r="E82" i="1"/>
  <c r="C82" i="1" s="1"/>
  <c r="E83" i="1"/>
  <c r="C83" i="1" s="1"/>
  <c r="E84" i="1"/>
  <c r="C84" i="1" s="1"/>
  <c r="E85" i="1"/>
  <c r="B85" i="1" s="1"/>
  <c r="E87" i="1"/>
  <c r="B87" i="1" s="1"/>
  <c r="E88" i="1"/>
  <c r="C88" i="1" s="1"/>
  <c r="E89" i="1"/>
  <c r="B89" i="1" s="1"/>
  <c r="E90" i="1"/>
  <c r="C90" i="1" s="1"/>
  <c r="E91" i="1"/>
  <c r="C91" i="1" s="1"/>
  <c r="E92" i="1"/>
  <c r="C92" i="1" s="1"/>
  <c r="E94" i="1"/>
  <c r="B94" i="1" s="1"/>
  <c r="E95" i="1"/>
  <c r="B95" i="1" s="1"/>
  <c r="E96" i="1"/>
  <c r="B96" i="1" s="1"/>
  <c r="E97" i="1"/>
  <c r="B97" i="1" s="1"/>
  <c r="E98" i="1"/>
  <c r="B98" i="1" s="1"/>
  <c r="E99" i="1"/>
  <c r="C99" i="1" s="1"/>
  <c r="E100" i="1"/>
  <c r="C100" i="1" s="1"/>
  <c r="E101" i="1"/>
  <c r="C101" i="1" s="1"/>
  <c r="E102" i="1"/>
  <c r="B102" i="1" s="1"/>
  <c r="E103" i="1"/>
  <c r="B103" i="1" s="1"/>
  <c r="E104" i="1"/>
  <c r="B104" i="1" s="1"/>
  <c r="E106" i="1"/>
  <c r="B106" i="1" s="1"/>
  <c r="E107" i="1"/>
  <c r="C107" i="1" s="1"/>
  <c r="E113" i="1"/>
  <c r="C113" i="1" s="1"/>
  <c r="E108" i="1"/>
  <c r="C108" i="1" s="1"/>
  <c r="E109" i="1"/>
  <c r="B109" i="1" s="1"/>
  <c r="E110" i="1"/>
  <c r="B110" i="1" s="1"/>
  <c r="E115" i="1"/>
  <c r="C115" i="1" s="1"/>
  <c r="E116" i="1"/>
  <c r="C116" i="1" s="1"/>
  <c r="E111" i="1"/>
  <c r="B111" i="1" s="1"/>
  <c r="E114" i="1"/>
  <c r="C114" i="1" s="1"/>
  <c r="E112" i="1"/>
  <c r="C112" i="1" s="1"/>
  <c r="E118" i="1"/>
  <c r="B118" i="1" s="1"/>
  <c r="E119" i="1"/>
  <c r="B119" i="1" s="1"/>
  <c r="E120" i="1"/>
  <c r="B120" i="1" s="1"/>
  <c r="E121" i="1"/>
  <c r="B121" i="1" s="1"/>
  <c r="E122" i="1"/>
  <c r="B122" i="1" s="1"/>
  <c r="E123" i="1"/>
  <c r="C123" i="1" s="1"/>
  <c r="E124" i="1"/>
  <c r="C124" i="1" s="1"/>
  <c r="E125" i="1"/>
  <c r="C125" i="1" s="1"/>
  <c r="E132" i="1"/>
  <c r="B132" i="1" s="1"/>
  <c r="E126" i="1"/>
  <c r="B126" i="1" s="1"/>
  <c r="E129" i="1"/>
  <c r="B129" i="1" s="1"/>
  <c r="E130" i="1"/>
  <c r="C130" i="1" s="1"/>
  <c r="E127" i="1"/>
  <c r="B127" i="1" s="1"/>
  <c r="E131" i="1"/>
  <c r="C131" i="1" s="1"/>
  <c r="E128" i="1"/>
  <c r="C128" i="1" s="1"/>
  <c r="E133" i="1"/>
  <c r="C133" i="1" s="1"/>
  <c r="E134" i="1"/>
  <c r="B134" i="1" s="1"/>
  <c r="E135" i="1"/>
  <c r="B135" i="1" s="1"/>
  <c r="E142" i="1"/>
  <c r="B142" i="1" s="1"/>
  <c r="E139" i="1"/>
  <c r="B139" i="1" s="1"/>
  <c r="E140" i="1"/>
  <c r="C140" i="1" s="1"/>
  <c r="E137" i="1"/>
  <c r="C137" i="1" s="1"/>
  <c r="E141" i="1"/>
  <c r="C141" i="1" s="1"/>
  <c r="E143" i="1"/>
  <c r="B143" i="1" s="1"/>
  <c r="E138" i="1"/>
  <c r="B138" i="1" s="1"/>
  <c r="G136" i="1"/>
  <c r="E136" i="1" s="1"/>
  <c r="C136" i="1" s="1"/>
  <c r="G117" i="1"/>
  <c r="E117" i="1" s="1"/>
  <c r="G105" i="1"/>
  <c r="H105" i="1" s="1"/>
  <c r="G86" i="1"/>
  <c r="E86" i="1" s="1"/>
  <c r="I2" i="1"/>
  <c r="G2" i="1"/>
  <c r="E2" i="1" s="1"/>
  <c r="I86" i="1"/>
  <c r="G74" i="1"/>
  <c r="E74" i="1" s="1"/>
  <c r="J105" i="1"/>
  <c r="I74" i="1"/>
  <c r="J136" i="1"/>
  <c r="I136" i="1"/>
  <c r="J2" i="1"/>
  <c r="I117" i="1"/>
  <c r="I123" i="1"/>
  <c r="I133" i="1"/>
  <c r="I105" i="1"/>
  <c r="H2" i="1"/>
  <c r="C51" i="4"/>
  <c r="S17" i="4"/>
  <c r="S35" i="4"/>
  <c r="S37" i="4"/>
  <c r="S16" i="4"/>
  <c r="S11" i="4"/>
  <c r="S10" i="4"/>
  <c r="S18" i="4"/>
  <c r="S36" i="4"/>
  <c r="S13" i="4"/>
  <c r="S15" i="4"/>
  <c r="S14" i="4"/>
  <c r="S9" i="4"/>
  <c r="S38" i="4"/>
  <c r="S12" i="4"/>
  <c r="AA2" i="4" l="1"/>
  <c r="O59" i="1"/>
  <c r="N59" i="1" s="1"/>
  <c r="M60" i="1"/>
  <c r="L60" i="1" s="1"/>
  <c r="O67" i="1"/>
  <c r="N67" i="1" s="1"/>
  <c r="M62" i="1"/>
  <c r="L62" i="1" s="1"/>
  <c r="O40" i="1"/>
  <c r="N40" i="1" s="1"/>
  <c r="O61" i="1"/>
  <c r="N61" i="1" s="1"/>
  <c r="K13" i="1"/>
  <c r="K21" i="1"/>
  <c r="O43" i="1"/>
  <c r="N43" i="1" s="1"/>
  <c r="M66" i="1"/>
  <c r="L66" i="1" s="1"/>
  <c r="B72" i="1"/>
  <c r="K72" i="1"/>
  <c r="B51" i="1"/>
  <c r="K51" i="1"/>
  <c r="C32" i="1"/>
  <c r="K32" i="1"/>
  <c r="B24" i="1"/>
  <c r="K24" i="1"/>
  <c r="C8" i="1"/>
  <c r="K8" i="1"/>
  <c r="P10" i="1"/>
  <c r="O10" i="1" s="1"/>
  <c r="N10" i="1" s="1"/>
  <c r="K10" i="1"/>
  <c r="P17" i="1"/>
  <c r="O17" i="1" s="1"/>
  <c r="K17" i="1"/>
  <c r="K143" i="1"/>
  <c r="P133" i="1"/>
  <c r="O133" i="1" s="1"/>
  <c r="N133" i="1" s="1"/>
  <c r="K133" i="1"/>
  <c r="P125" i="1"/>
  <c r="O125" i="1" s="1"/>
  <c r="K125" i="1"/>
  <c r="P112" i="1"/>
  <c r="O112" i="1" s="1"/>
  <c r="N112" i="1" s="1"/>
  <c r="K112" i="1"/>
  <c r="P113" i="1"/>
  <c r="O113" i="1" s="1"/>
  <c r="N113" i="1" s="1"/>
  <c r="K113" i="1"/>
  <c r="P99" i="1"/>
  <c r="O99" i="1" s="1"/>
  <c r="N99" i="1" s="1"/>
  <c r="K99" i="1"/>
  <c r="P90" i="1"/>
  <c r="O90" i="1" s="1"/>
  <c r="K90" i="1"/>
  <c r="P81" i="1"/>
  <c r="O81" i="1" s="1"/>
  <c r="N81" i="1" s="1"/>
  <c r="K81" i="1"/>
  <c r="B71" i="1"/>
  <c r="K71" i="1"/>
  <c r="C47" i="1"/>
  <c r="K47" i="1"/>
  <c r="B31" i="1"/>
  <c r="K31" i="1"/>
  <c r="B7" i="1"/>
  <c r="K7" i="1"/>
  <c r="P16" i="1"/>
  <c r="O16" i="1" s="1"/>
  <c r="N16" i="1" s="1"/>
  <c r="K16" i="1"/>
  <c r="P141" i="1"/>
  <c r="O141" i="1" s="1"/>
  <c r="N141" i="1" s="1"/>
  <c r="K141" i="1"/>
  <c r="P128" i="1"/>
  <c r="O128" i="1" s="1"/>
  <c r="K128" i="1"/>
  <c r="P124" i="1"/>
  <c r="O124" i="1" s="1"/>
  <c r="N124" i="1" s="1"/>
  <c r="K124" i="1"/>
  <c r="P114" i="1"/>
  <c r="O114" i="1" s="1"/>
  <c r="N114" i="1" s="1"/>
  <c r="K114" i="1"/>
  <c r="P107" i="1"/>
  <c r="O107" i="1" s="1"/>
  <c r="N107" i="1" s="1"/>
  <c r="K107" i="1"/>
  <c r="P98" i="1"/>
  <c r="O98" i="1" s="1"/>
  <c r="K98" i="1"/>
  <c r="P89" i="1"/>
  <c r="O89" i="1" s="1"/>
  <c r="N89" i="1" s="1"/>
  <c r="K89" i="1"/>
  <c r="P80" i="1"/>
  <c r="O80" i="1" s="1"/>
  <c r="N80" i="1" s="1"/>
  <c r="K80" i="1"/>
  <c r="B70" i="1"/>
  <c r="K70" i="1"/>
  <c r="B48" i="1"/>
  <c r="K48" i="1"/>
  <c r="B30" i="1"/>
  <c r="K30" i="1"/>
  <c r="B6" i="1"/>
  <c r="K6" i="1"/>
  <c r="P23" i="1"/>
  <c r="O23" i="1" s="1"/>
  <c r="N23" i="1" s="1"/>
  <c r="K23" i="1"/>
  <c r="P15" i="1"/>
  <c r="O15" i="1" s="1"/>
  <c r="K15" i="1"/>
  <c r="P137" i="1"/>
  <c r="O137" i="1" s="1"/>
  <c r="K137" i="1"/>
  <c r="P131" i="1"/>
  <c r="O131" i="1" s="1"/>
  <c r="N131" i="1" s="1"/>
  <c r="K131" i="1"/>
  <c r="P123" i="1"/>
  <c r="O123" i="1" s="1"/>
  <c r="N123" i="1" s="1"/>
  <c r="K123" i="1"/>
  <c r="P111" i="1"/>
  <c r="O111" i="1" s="1"/>
  <c r="N111" i="1" s="1"/>
  <c r="K111" i="1"/>
  <c r="P106" i="1"/>
  <c r="O106" i="1" s="1"/>
  <c r="K106" i="1"/>
  <c r="P97" i="1"/>
  <c r="O97" i="1" s="1"/>
  <c r="N97" i="1" s="1"/>
  <c r="K97" i="1"/>
  <c r="P88" i="1"/>
  <c r="O88" i="1" s="1"/>
  <c r="N88" i="1" s="1"/>
  <c r="K88" i="1"/>
  <c r="P79" i="1"/>
  <c r="O79" i="1" s="1"/>
  <c r="K79" i="1"/>
  <c r="B69" i="1"/>
  <c r="K69" i="1"/>
  <c r="B37" i="1"/>
  <c r="K37" i="1"/>
  <c r="B29" i="1"/>
  <c r="K29" i="1"/>
  <c r="B5" i="1"/>
  <c r="K5" i="1"/>
  <c r="P22" i="1"/>
  <c r="O22" i="1" s="1"/>
  <c r="N22" i="1" s="1"/>
  <c r="K22" i="1"/>
  <c r="P14" i="1"/>
  <c r="O14" i="1" s="1"/>
  <c r="N14" i="1" s="1"/>
  <c r="K14" i="1"/>
  <c r="P140" i="1"/>
  <c r="O140" i="1" s="1"/>
  <c r="N140" i="1" s="1"/>
  <c r="K140" i="1"/>
  <c r="P127" i="1"/>
  <c r="O127" i="1" s="1"/>
  <c r="N127" i="1" s="1"/>
  <c r="K127" i="1"/>
  <c r="P122" i="1"/>
  <c r="O122" i="1" s="1"/>
  <c r="N122" i="1" s="1"/>
  <c r="K122" i="1"/>
  <c r="P116" i="1"/>
  <c r="O116" i="1" s="1"/>
  <c r="N116" i="1" s="1"/>
  <c r="K116" i="1"/>
  <c r="P104" i="1"/>
  <c r="O104" i="1" s="1"/>
  <c r="N104" i="1" s="1"/>
  <c r="K104" i="1"/>
  <c r="P96" i="1"/>
  <c r="O96" i="1" s="1"/>
  <c r="K96" i="1"/>
  <c r="P87" i="1"/>
  <c r="O87" i="1" s="1"/>
  <c r="N87" i="1" s="1"/>
  <c r="K87" i="1"/>
  <c r="P78" i="1"/>
  <c r="O78" i="1" s="1"/>
  <c r="N78" i="1" s="1"/>
  <c r="K78" i="1"/>
  <c r="C36" i="1"/>
  <c r="K36" i="1"/>
  <c r="C12" i="1"/>
  <c r="K12" i="1"/>
  <c r="C4" i="1"/>
  <c r="K4" i="1"/>
  <c r="P25" i="1"/>
  <c r="O25" i="1" s="1"/>
  <c r="N25" i="1" s="1"/>
  <c r="K25" i="1"/>
  <c r="P139" i="1"/>
  <c r="O139" i="1" s="1"/>
  <c r="N139" i="1" s="1"/>
  <c r="K139" i="1"/>
  <c r="P130" i="1"/>
  <c r="O130" i="1" s="1"/>
  <c r="N130" i="1" s="1"/>
  <c r="K130" i="1"/>
  <c r="P121" i="1"/>
  <c r="O121" i="1" s="1"/>
  <c r="N121" i="1" s="1"/>
  <c r="K121" i="1"/>
  <c r="P115" i="1"/>
  <c r="O115" i="1" s="1"/>
  <c r="N115" i="1" s="1"/>
  <c r="K115" i="1"/>
  <c r="K103" i="1"/>
  <c r="K95" i="1"/>
  <c r="K85" i="1"/>
  <c r="K77" i="1"/>
  <c r="C55" i="1"/>
  <c r="K55" i="1"/>
  <c r="C35" i="1"/>
  <c r="K35" i="1"/>
  <c r="C27" i="1"/>
  <c r="K27" i="1"/>
  <c r="C3" i="1"/>
  <c r="K3" i="1"/>
  <c r="P20" i="1"/>
  <c r="O20" i="1" s="1"/>
  <c r="N20" i="1" s="1"/>
  <c r="K20" i="1"/>
  <c r="P28" i="1"/>
  <c r="O28" i="1" s="1"/>
  <c r="N28" i="1" s="1"/>
  <c r="K28" i="1"/>
  <c r="P142" i="1"/>
  <c r="O142" i="1" s="1"/>
  <c r="N142" i="1" s="1"/>
  <c r="K142" i="1"/>
  <c r="P129" i="1"/>
  <c r="O129" i="1" s="1"/>
  <c r="N129" i="1" s="1"/>
  <c r="K129" i="1"/>
  <c r="P120" i="1"/>
  <c r="O120" i="1" s="1"/>
  <c r="N120" i="1" s="1"/>
  <c r="K120" i="1"/>
  <c r="K110" i="1"/>
  <c r="K102" i="1"/>
  <c r="K94" i="1"/>
  <c r="P84" i="1"/>
  <c r="O84" i="1" s="1"/>
  <c r="N84" i="1" s="1"/>
  <c r="K84" i="1"/>
  <c r="P76" i="1"/>
  <c r="O76" i="1" s="1"/>
  <c r="N76" i="1" s="1"/>
  <c r="K76" i="1"/>
  <c r="P2" i="1"/>
  <c r="O2" i="1" s="1"/>
  <c r="K2" i="1"/>
  <c r="C53" i="1"/>
  <c r="K53" i="1"/>
  <c r="C34" i="1"/>
  <c r="K34" i="1"/>
  <c r="C26" i="1"/>
  <c r="K26" i="1"/>
  <c r="P9" i="1"/>
  <c r="O9" i="1" s="1"/>
  <c r="N9" i="1" s="1"/>
  <c r="K9" i="1"/>
  <c r="P19" i="1"/>
  <c r="O19" i="1" s="1"/>
  <c r="N19" i="1" s="1"/>
  <c r="K19" i="1"/>
  <c r="P57" i="1"/>
  <c r="O57" i="1" s="1"/>
  <c r="N57" i="1" s="1"/>
  <c r="K57" i="1"/>
  <c r="K135" i="1"/>
  <c r="K126" i="1"/>
  <c r="K119" i="1"/>
  <c r="K109" i="1"/>
  <c r="P101" i="1"/>
  <c r="O101" i="1" s="1"/>
  <c r="N101" i="1" s="1"/>
  <c r="K101" i="1"/>
  <c r="P92" i="1"/>
  <c r="O92" i="1" s="1"/>
  <c r="N92" i="1" s="1"/>
  <c r="K92" i="1"/>
  <c r="P83" i="1"/>
  <c r="O83" i="1" s="1"/>
  <c r="N83" i="1" s="1"/>
  <c r="K83" i="1"/>
  <c r="P75" i="1"/>
  <c r="O75" i="1" s="1"/>
  <c r="N75" i="1" s="1"/>
  <c r="K75" i="1"/>
  <c r="P105" i="1"/>
  <c r="O105" i="1" s="1"/>
  <c r="N105" i="1" s="1"/>
  <c r="K105" i="1"/>
  <c r="B73" i="1"/>
  <c r="K73" i="1"/>
  <c r="B52" i="1"/>
  <c r="K52" i="1"/>
  <c r="B33" i="1"/>
  <c r="K33" i="1"/>
  <c r="P11" i="1"/>
  <c r="O11" i="1" s="1"/>
  <c r="N11" i="1" s="1"/>
  <c r="K11" i="1"/>
  <c r="P18" i="1"/>
  <c r="O18" i="1" s="1"/>
  <c r="N18" i="1" s="1"/>
  <c r="K18" i="1"/>
  <c r="P138" i="1"/>
  <c r="O138" i="1" s="1"/>
  <c r="N138" i="1" s="1"/>
  <c r="K138" i="1"/>
  <c r="K134" i="1"/>
  <c r="K132" i="1"/>
  <c r="K118" i="1"/>
  <c r="P108" i="1"/>
  <c r="O108" i="1" s="1"/>
  <c r="N108" i="1" s="1"/>
  <c r="K108" i="1"/>
  <c r="P100" i="1"/>
  <c r="O100" i="1" s="1"/>
  <c r="N100" i="1" s="1"/>
  <c r="K100" i="1"/>
  <c r="P91" i="1"/>
  <c r="O91" i="1" s="1"/>
  <c r="N91" i="1" s="1"/>
  <c r="K91" i="1"/>
  <c r="P82" i="1"/>
  <c r="O82" i="1" s="1"/>
  <c r="N82" i="1" s="1"/>
  <c r="K82" i="1"/>
  <c r="M29" i="1"/>
  <c r="L29" i="1" s="1"/>
  <c r="M5" i="1"/>
  <c r="L5" i="1" s="1"/>
  <c r="M70" i="1"/>
  <c r="L70" i="1" s="1"/>
  <c r="M34" i="1"/>
  <c r="L34" i="1" s="1"/>
  <c r="M71" i="1"/>
  <c r="L71" i="1" s="1"/>
  <c r="M48" i="1"/>
  <c r="L48" i="1" s="1"/>
  <c r="M30" i="1"/>
  <c r="L30" i="1" s="1"/>
  <c r="O73" i="1"/>
  <c r="N73" i="1" s="1"/>
  <c r="O72" i="1"/>
  <c r="N72" i="1" s="1"/>
  <c r="O52" i="1"/>
  <c r="N52" i="1" s="1"/>
  <c r="M27" i="1"/>
  <c r="L27" i="1" s="1"/>
  <c r="O51" i="1"/>
  <c r="N51" i="1" s="1"/>
  <c r="M69" i="1"/>
  <c r="L69" i="1" s="1"/>
  <c r="M26" i="1"/>
  <c r="L26" i="1" s="1"/>
  <c r="O33" i="1"/>
  <c r="N33" i="1" s="1"/>
  <c r="M53" i="1"/>
  <c r="L53" i="1" s="1"/>
  <c r="M6" i="1"/>
  <c r="L6" i="1" s="1"/>
  <c r="O32" i="1"/>
  <c r="N32" i="1" s="1"/>
  <c r="O24" i="1"/>
  <c r="N24" i="1" s="1"/>
  <c r="M37" i="1"/>
  <c r="L37" i="1" s="1"/>
  <c r="O8" i="1"/>
  <c r="N8" i="1" s="1"/>
  <c r="M12" i="1"/>
  <c r="L12" i="1" s="1"/>
  <c r="O47" i="1"/>
  <c r="N47" i="1" s="1"/>
  <c r="O31" i="1"/>
  <c r="N31" i="1" s="1"/>
  <c r="O7" i="1"/>
  <c r="N7" i="1" s="1"/>
  <c r="M36" i="1"/>
  <c r="L36" i="1" s="1"/>
  <c r="M90" i="1"/>
  <c r="L90" i="1" s="1"/>
  <c r="M35" i="1"/>
  <c r="L35" i="1" s="1"/>
  <c r="M3" i="1"/>
  <c r="L3" i="1" s="1"/>
  <c r="M124" i="1"/>
  <c r="L124" i="1" s="1"/>
  <c r="M4" i="1"/>
  <c r="L4" i="1" s="1"/>
  <c r="P135" i="1"/>
  <c r="O135" i="1" s="1"/>
  <c r="N135" i="1" s="1"/>
  <c r="P126" i="1"/>
  <c r="O126" i="1" s="1"/>
  <c r="N126" i="1" s="1"/>
  <c r="P119" i="1"/>
  <c r="O119" i="1" s="1"/>
  <c r="N119" i="1" s="1"/>
  <c r="P110" i="1"/>
  <c r="O110" i="1" s="1"/>
  <c r="N110" i="1" s="1"/>
  <c r="P103" i="1"/>
  <c r="O103" i="1" s="1"/>
  <c r="N103" i="1" s="1"/>
  <c r="P95" i="1"/>
  <c r="O95" i="1" s="1"/>
  <c r="N95" i="1" s="1"/>
  <c r="O55" i="1"/>
  <c r="N55" i="1" s="1"/>
  <c r="P143" i="1"/>
  <c r="O143" i="1" s="1"/>
  <c r="N143" i="1" s="1"/>
  <c r="P134" i="1"/>
  <c r="O134" i="1" s="1"/>
  <c r="N134" i="1" s="1"/>
  <c r="P132" i="1"/>
  <c r="O132" i="1" s="1"/>
  <c r="N132" i="1" s="1"/>
  <c r="P118" i="1"/>
  <c r="O118" i="1" s="1"/>
  <c r="N118" i="1" s="1"/>
  <c r="P109" i="1"/>
  <c r="O109" i="1" s="1"/>
  <c r="N109" i="1" s="1"/>
  <c r="P102" i="1"/>
  <c r="O102" i="1" s="1"/>
  <c r="N102" i="1" s="1"/>
  <c r="P94" i="1"/>
  <c r="O94" i="1" s="1"/>
  <c r="N94" i="1" s="1"/>
  <c r="P85" i="1"/>
  <c r="O85" i="1" s="1"/>
  <c r="N85" i="1" s="1"/>
  <c r="P77" i="1"/>
  <c r="O77" i="1" s="1"/>
  <c r="N77" i="1" s="1"/>
  <c r="P21" i="1"/>
  <c r="O21" i="1" s="1"/>
  <c r="N21" i="1" s="1"/>
  <c r="P13" i="1"/>
  <c r="O13" i="1" s="1"/>
  <c r="N13" i="1" s="1"/>
  <c r="M129" i="1"/>
  <c r="L129" i="1" s="1"/>
  <c r="M122" i="1"/>
  <c r="L122" i="1" s="1"/>
  <c r="M125" i="1"/>
  <c r="L125" i="1" s="1"/>
  <c r="M98" i="1"/>
  <c r="L98" i="1" s="1"/>
  <c r="H86" i="1"/>
  <c r="H74" i="1"/>
  <c r="H136" i="1"/>
  <c r="N70" i="1"/>
  <c r="N69" i="1"/>
  <c r="N48" i="1"/>
  <c r="N37" i="1"/>
  <c r="N12" i="1"/>
  <c r="N36" i="1"/>
  <c r="N6" i="1"/>
  <c r="N30" i="1"/>
  <c r="N5" i="1"/>
  <c r="N29" i="1"/>
  <c r="N4" i="1"/>
  <c r="N2" i="1"/>
  <c r="N125" i="1"/>
  <c r="E105" i="1"/>
  <c r="C105" i="1" s="1"/>
  <c r="H117" i="1"/>
  <c r="N137" i="1"/>
  <c r="N128" i="1"/>
  <c r="N35" i="1"/>
  <c r="N27" i="1"/>
  <c r="N90" i="1"/>
  <c r="N53" i="1"/>
  <c r="N34" i="1"/>
  <c r="N26" i="1"/>
  <c r="N106" i="1"/>
  <c r="N98" i="1"/>
  <c r="N17" i="1"/>
  <c r="N96" i="1"/>
  <c r="N79" i="1"/>
  <c r="N71" i="1"/>
  <c r="N15" i="1"/>
  <c r="N3" i="1"/>
  <c r="B27" i="1"/>
  <c r="B141" i="1"/>
  <c r="C89" i="1"/>
  <c r="B3" i="1"/>
  <c r="B137" i="1"/>
  <c r="C81" i="1"/>
  <c r="B123" i="1"/>
  <c r="B4" i="1"/>
  <c r="B99" i="1"/>
  <c r="B57" i="1"/>
  <c r="B112" i="1"/>
  <c r="B140" i="1"/>
  <c r="B114" i="1"/>
  <c r="B91" i="1"/>
  <c r="B55" i="1"/>
  <c r="B20" i="1"/>
  <c r="C139" i="1"/>
  <c r="C73" i="1"/>
  <c r="B75" i="1"/>
  <c r="B133" i="1"/>
  <c r="B108" i="1"/>
  <c r="B90" i="1"/>
  <c r="B53" i="1"/>
  <c r="B19" i="1"/>
  <c r="C127" i="1"/>
  <c r="C52" i="1"/>
  <c r="B92" i="1"/>
  <c r="B128" i="1"/>
  <c r="B113" i="1"/>
  <c r="B84" i="1"/>
  <c r="B36" i="1"/>
  <c r="B18" i="1"/>
  <c r="C122" i="1"/>
  <c r="C33" i="1"/>
  <c r="B131" i="1"/>
  <c r="B107" i="1"/>
  <c r="B83" i="1"/>
  <c r="B35" i="1"/>
  <c r="B12" i="1"/>
  <c r="C111" i="1"/>
  <c r="C25" i="1"/>
  <c r="B26" i="1"/>
  <c r="B125" i="1"/>
  <c r="B101" i="1"/>
  <c r="B82" i="1"/>
  <c r="B34" i="1"/>
  <c r="B11" i="1"/>
  <c r="C106" i="1"/>
  <c r="C17" i="1"/>
  <c r="B124" i="1"/>
  <c r="B100" i="1"/>
  <c r="B76" i="1"/>
  <c r="B28" i="1"/>
  <c r="B10" i="1"/>
  <c r="C98" i="1"/>
  <c r="C9" i="1"/>
  <c r="C74" i="1"/>
  <c r="B74" i="1"/>
  <c r="B117" i="1"/>
  <c r="C117" i="1"/>
  <c r="B86" i="1"/>
  <c r="C86" i="1"/>
  <c r="C2" i="1"/>
  <c r="B2" i="1"/>
  <c r="C142" i="1"/>
  <c r="C97" i="1"/>
  <c r="C72" i="1"/>
  <c r="C24" i="1"/>
  <c r="C104" i="1"/>
  <c r="C71" i="1"/>
  <c r="C7" i="1"/>
  <c r="C138" i="1"/>
  <c r="C135" i="1"/>
  <c r="C126" i="1"/>
  <c r="C119" i="1"/>
  <c r="C110" i="1"/>
  <c r="C103" i="1"/>
  <c r="C95" i="1"/>
  <c r="C78" i="1"/>
  <c r="C70" i="1"/>
  <c r="C48" i="1"/>
  <c r="C30" i="1"/>
  <c r="C22" i="1"/>
  <c r="C14" i="1"/>
  <c r="C6" i="1"/>
  <c r="C121" i="1"/>
  <c r="C51" i="1"/>
  <c r="C129" i="1"/>
  <c r="C87" i="1"/>
  <c r="C31" i="1"/>
  <c r="B130" i="1"/>
  <c r="B116" i="1"/>
  <c r="B88" i="1"/>
  <c r="B80" i="1"/>
  <c r="B32" i="1"/>
  <c r="B16" i="1"/>
  <c r="B8" i="1"/>
  <c r="C143" i="1"/>
  <c r="C134" i="1"/>
  <c r="C132" i="1"/>
  <c r="C118" i="1"/>
  <c r="C109" i="1"/>
  <c r="C102" i="1"/>
  <c r="C94" i="1"/>
  <c r="C85" i="1"/>
  <c r="C77" i="1"/>
  <c r="C69" i="1"/>
  <c r="C37" i="1"/>
  <c r="C29" i="1"/>
  <c r="C21" i="1"/>
  <c r="C13" i="1"/>
  <c r="C5" i="1"/>
  <c r="C120" i="1"/>
  <c r="C96" i="1"/>
  <c r="C23" i="1"/>
  <c r="B136" i="1"/>
  <c r="B115" i="1"/>
  <c r="B79" i="1"/>
  <c r="B47" i="1"/>
  <c r="B15" i="1"/>
  <c r="D3" i="5"/>
  <c r="AB2" i="4" l="1"/>
  <c r="M10" i="1"/>
  <c r="L10" i="1" s="1"/>
  <c r="M83" i="1"/>
  <c r="L83" i="1" s="1"/>
  <c r="T49" i="4"/>
  <c r="M17" i="1"/>
  <c r="L17" i="1" s="1"/>
  <c r="M25" i="1"/>
  <c r="L25" i="1" s="1"/>
  <c r="M2" i="1"/>
  <c r="L2" i="1" s="1"/>
  <c r="M80" i="1"/>
  <c r="L80" i="1" s="1"/>
  <c r="M78" i="1"/>
  <c r="L78" i="1" s="1"/>
  <c r="M116" i="1"/>
  <c r="L116" i="1" s="1"/>
  <c r="M131" i="1"/>
  <c r="L131" i="1" s="1"/>
  <c r="M130" i="1"/>
  <c r="L130" i="1" s="1"/>
  <c r="M128" i="1"/>
  <c r="L128" i="1" s="1"/>
  <c r="M96" i="1"/>
  <c r="L96" i="1" s="1"/>
  <c r="M79" i="1"/>
  <c r="L79" i="1" s="1"/>
  <c r="M127" i="1"/>
  <c r="L127" i="1" s="1"/>
  <c r="M111" i="1"/>
  <c r="L111" i="1" s="1"/>
  <c r="M15" i="1"/>
  <c r="L15" i="1" s="1"/>
  <c r="M89" i="1"/>
  <c r="L89" i="1" s="1"/>
  <c r="M120" i="1"/>
  <c r="L120" i="1" s="1"/>
  <c r="M106" i="1"/>
  <c r="L106" i="1" s="1"/>
  <c r="M137" i="1"/>
  <c r="L137" i="1" s="1"/>
  <c r="M112" i="1"/>
  <c r="L112" i="1" s="1"/>
  <c r="M121" i="1"/>
  <c r="L121" i="1" s="1"/>
  <c r="M138" i="1"/>
  <c r="L138" i="1" s="1"/>
  <c r="M16" i="1"/>
  <c r="L16" i="1" s="1"/>
  <c r="M14" i="1"/>
  <c r="L14" i="1" s="1"/>
  <c r="M28" i="1"/>
  <c r="L28" i="1" s="1"/>
  <c r="M115" i="1"/>
  <c r="L115" i="1" s="1"/>
  <c r="M113" i="1"/>
  <c r="L113" i="1" s="1"/>
  <c r="M97" i="1"/>
  <c r="L97" i="1" s="1"/>
  <c r="M114" i="1"/>
  <c r="L114" i="1" s="1"/>
  <c r="M76" i="1"/>
  <c r="L76" i="1" s="1"/>
  <c r="M100" i="1"/>
  <c r="L100" i="1" s="1"/>
  <c r="M9" i="1"/>
  <c r="L9" i="1" s="1"/>
  <c r="M92" i="1"/>
  <c r="L92" i="1" s="1"/>
  <c r="M99" i="1"/>
  <c r="L99" i="1" s="1"/>
  <c r="M107" i="1"/>
  <c r="L107" i="1" s="1"/>
  <c r="M57" i="1"/>
  <c r="L57" i="1" s="1"/>
  <c r="M133" i="1"/>
  <c r="L133" i="1" s="1"/>
  <c r="M82" i="1"/>
  <c r="L82" i="1" s="1"/>
  <c r="M91" i="1"/>
  <c r="L91" i="1" s="1"/>
  <c r="M81" i="1"/>
  <c r="L81" i="1" s="1"/>
  <c r="M87" i="1"/>
  <c r="L87" i="1" s="1"/>
  <c r="M22" i="1"/>
  <c r="L22" i="1" s="1"/>
  <c r="M20" i="1"/>
  <c r="L20" i="1" s="1"/>
  <c r="M88" i="1"/>
  <c r="L88" i="1" s="1"/>
  <c r="M23" i="1"/>
  <c r="L23" i="1" s="1"/>
  <c r="M141" i="1"/>
  <c r="L141" i="1" s="1"/>
  <c r="M142" i="1"/>
  <c r="L142" i="1" s="1"/>
  <c r="M104" i="1"/>
  <c r="L104" i="1" s="1"/>
  <c r="M139" i="1"/>
  <c r="L139" i="1" s="1"/>
  <c r="M108" i="1"/>
  <c r="L108" i="1" s="1"/>
  <c r="M140" i="1"/>
  <c r="L140" i="1" s="1"/>
  <c r="M123" i="1"/>
  <c r="L123" i="1" s="1"/>
  <c r="M105" i="1"/>
  <c r="L105" i="1" s="1"/>
  <c r="K74" i="1"/>
  <c r="M19" i="1"/>
  <c r="L19" i="1" s="1"/>
  <c r="M101" i="1"/>
  <c r="L101" i="1" s="1"/>
  <c r="M11" i="1"/>
  <c r="L11" i="1" s="1"/>
  <c r="K86" i="1"/>
  <c r="K136" i="1"/>
  <c r="M75" i="1"/>
  <c r="L75" i="1" s="1"/>
  <c r="M18" i="1"/>
  <c r="L18" i="1" s="1"/>
  <c r="M84" i="1"/>
  <c r="L84" i="1" s="1"/>
  <c r="P117" i="1"/>
  <c r="O117" i="1" s="1"/>
  <c r="K117" i="1"/>
  <c r="E19" i="6" a="1"/>
  <c r="E19" i="6" s="1"/>
  <c r="E10" i="6" a="1"/>
  <c r="E10" i="6" s="1"/>
  <c r="E18" i="6" a="1"/>
  <c r="E18" i="6" s="1"/>
  <c r="E9" i="6" a="1"/>
  <c r="E9" i="6" s="1"/>
  <c r="E17" i="6" a="1"/>
  <c r="E17" i="6" s="1"/>
  <c r="E8" i="6" a="1"/>
  <c r="E8" i="6" s="1"/>
  <c r="E16" i="6" a="1"/>
  <c r="E16" i="6" s="1"/>
  <c r="E7" i="6" a="1"/>
  <c r="E7" i="6" s="1"/>
  <c r="E15" i="6" a="1"/>
  <c r="E15" i="6" s="1"/>
  <c r="E6" i="6" a="1"/>
  <c r="E6" i="6" s="1"/>
  <c r="E13" i="6" a="1"/>
  <c r="E13" i="6" s="1"/>
  <c r="E5" i="6" a="1"/>
  <c r="E5" i="6" s="1"/>
  <c r="M143" i="1"/>
  <c r="L143" i="1" s="1"/>
  <c r="M85" i="1"/>
  <c r="L85" i="1" s="1"/>
  <c r="M132" i="1"/>
  <c r="L132" i="1" s="1"/>
  <c r="M126" i="1"/>
  <c r="L126" i="1" s="1"/>
  <c r="M135" i="1"/>
  <c r="L135" i="1" s="1"/>
  <c r="M134" i="1"/>
  <c r="L134" i="1" s="1"/>
  <c r="M103" i="1"/>
  <c r="L103" i="1" s="1"/>
  <c r="M21" i="1"/>
  <c r="L21" i="1" s="1"/>
  <c r="M102" i="1"/>
  <c r="L102" i="1" s="1"/>
  <c r="M118" i="1"/>
  <c r="L118" i="1" s="1"/>
  <c r="P136" i="1"/>
  <c r="O136" i="1" s="1"/>
  <c r="N136" i="1" s="1"/>
  <c r="P86" i="1"/>
  <c r="O86" i="1" s="1"/>
  <c r="N86" i="1" s="1"/>
  <c r="M13" i="1"/>
  <c r="L13" i="1" s="1"/>
  <c r="M110" i="1"/>
  <c r="L110" i="1" s="1"/>
  <c r="P74" i="1"/>
  <c r="O74" i="1" s="1"/>
  <c r="N74" i="1" s="1"/>
  <c r="M94" i="1"/>
  <c r="L94" i="1" s="1"/>
  <c r="M109" i="1"/>
  <c r="L109" i="1" s="1"/>
  <c r="M95" i="1"/>
  <c r="L95" i="1" s="1"/>
  <c r="M119" i="1"/>
  <c r="L119" i="1" s="1"/>
  <c r="M77" i="1"/>
  <c r="L77" i="1" s="1"/>
  <c r="B105" i="1"/>
  <c r="M117" i="1"/>
  <c r="L117" i="1" s="1"/>
  <c r="N117" i="1"/>
  <c r="S49" i="4"/>
  <c r="AD2" i="4" l="1"/>
  <c r="N49" i="4"/>
  <c r="M86" i="1"/>
  <c r="L86" i="1" s="1"/>
  <c r="M136" i="1"/>
  <c r="L136" i="1" s="1"/>
  <c r="M74" i="1"/>
  <c r="L74" i="1" s="1"/>
  <c r="E49" i="4"/>
  <c r="AE2" i="4" l="1"/>
  <c r="P47" i="4"/>
  <c r="N47" i="4" s="1"/>
  <c r="P46" i="4"/>
  <c r="N46" i="4" s="1"/>
  <c r="E47" i="4"/>
  <c r="E46" i="4"/>
  <c r="AF2" i="4" l="1"/>
  <c r="T7" i="4"/>
  <c r="T6" i="4"/>
  <c r="T8" i="4"/>
  <c r="AL54" i="4"/>
  <c r="S8" i="4"/>
  <c r="S7" i="4"/>
  <c r="AK54" i="4"/>
  <c r="S6" i="4"/>
  <c r="AG2" i="4" l="1"/>
  <c r="C49" i="4"/>
  <c r="F16" i="6"/>
  <c r="G16" i="6" s="1"/>
  <c r="F10" i="6"/>
  <c r="G10" i="6" s="1"/>
  <c r="F19" i="6"/>
  <c r="G19" i="6" s="1"/>
  <c r="F12" i="6"/>
  <c r="G12" i="6" s="1"/>
  <c r="F13" i="6"/>
  <c r="G13" i="6" s="1"/>
  <c r="F14" i="6"/>
  <c r="G14" i="6" s="1"/>
  <c r="AL61" i="4"/>
  <c r="AK61" i="4"/>
  <c r="AI54" i="4"/>
  <c r="AH2" i="4" l="1"/>
  <c r="T57" i="4"/>
  <c r="T63" i="4"/>
  <c r="AH54" i="4"/>
  <c r="AI61" i="4"/>
  <c r="S57" i="4"/>
  <c r="S63" i="4"/>
  <c r="AI2" i="4" l="1"/>
  <c r="N57" i="4"/>
  <c r="N63" i="4"/>
  <c r="F15" i="6"/>
  <c r="G15" i="6" s="1"/>
  <c r="F6" i="6"/>
  <c r="G6" i="6" s="1"/>
  <c r="F9" i="6"/>
  <c r="G9" i="6" s="1"/>
  <c r="F11" i="6"/>
  <c r="G11" i="6" s="1"/>
  <c r="F17" i="6"/>
  <c r="G17" i="6" s="1"/>
  <c r="F8" i="6"/>
  <c r="G8" i="6" s="1"/>
  <c r="F4" i="6"/>
  <c r="G4" i="6" s="1"/>
  <c r="F7" i="6"/>
  <c r="G7" i="6" s="1"/>
  <c r="F18" i="6"/>
  <c r="G18" i="6" s="1"/>
  <c r="F5" i="6"/>
  <c r="G5" i="6" s="1"/>
  <c r="AL59" i="4"/>
  <c r="X54" i="4"/>
  <c r="AH61" i="4"/>
  <c r="E57" i="4"/>
  <c r="E63" i="4"/>
  <c r="AK59" i="4"/>
  <c r="AJ2" i="4" l="1"/>
  <c r="C57" i="4"/>
  <c r="C63" i="4"/>
  <c r="AL62" i="4"/>
  <c r="X61" i="4"/>
  <c r="V54" i="4"/>
  <c r="AK62" i="4"/>
  <c r="AI59" i="4"/>
  <c r="AK2" i="4" l="1"/>
  <c r="T54" i="4"/>
  <c r="AL60" i="4"/>
  <c r="AH59" i="4"/>
  <c r="V61" i="4"/>
  <c r="AK60" i="4"/>
  <c r="S54" i="4"/>
  <c r="AI62" i="4"/>
  <c r="AL2" i="4" l="1"/>
  <c r="N54" i="4"/>
  <c r="T61" i="4"/>
  <c r="X59" i="4"/>
  <c r="AH62" i="4"/>
  <c r="E54" i="4"/>
  <c r="S61" i="4"/>
  <c r="AI60" i="4"/>
  <c r="AM2" i="4" l="1"/>
  <c r="N61" i="4"/>
  <c r="AL64" i="4"/>
  <c r="X62" i="4"/>
  <c r="AH60" i="4"/>
  <c r="E61" i="4"/>
  <c r="V59" i="4"/>
  <c r="AK64" i="4"/>
  <c r="AO2" i="4" l="1"/>
  <c r="AN2" i="4"/>
  <c r="C54" i="4"/>
  <c r="C61" i="4"/>
  <c r="T59" i="4"/>
  <c r="X60" i="4"/>
  <c r="V62" i="4"/>
  <c r="AI64" i="4"/>
  <c r="S59" i="4"/>
  <c r="T62" i="4" l="1"/>
  <c r="N59" i="4"/>
  <c r="AL58" i="4"/>
  <c r="AH64" i="4"/>
  <c r="E59" i="4"/>
  <c r="V60" i="4"/>
  <c r="S62" i="4"/>
  <c r="AK58" i="4"/>
  <c r="C59" i="4" l="1"/>
  <c r="N62" i="4"/>
  <c r="T60" i="4"/>
  <c r="AL55" i="4"/>
  <c r="X64" i="4"/>
  <c r="E62" i="4"/>
  <c r="S60" i="4"/>
  <c r="AI58" i="4"/>
  <c r="AK55" i="4"/>
  <c r="C62" i="4" l="1"/>
  <c r="N60" i="4"/>
  <c r="AH58" i="4"/>
  <c r="E60" i="4"/>
  <c r="V64" i="4"/>
  <c r="AI55" i="4"/>
  <c r="C60" i="4" l="1"/>
  <c r="T64" i="4"/>
  <c r="AL56" i="4"/>
  <c r="X58" i="4"/>
  <c r="AH55" i="4"/>
  <c r="AK56" i="4"/>
  <c r="S64" i="4"/>
  <c r="N64" i="4" l="1"/>
  <c r="X55" i="4"/>
  <c r="E64" i="4"/>
  <c r="V58" i="4"/>
  <c r="AI56" i="4"/>
  <c r="C64" i="4" l="1"/>
  <c r="T58" i="4"/>
  <c r="AL52" i="4"/>
  <c r="AH56" i="4"/>
  <c r="V55" i="4"/>
  <c r="S58" i="4"/>
  <c r="AK52" i="4"/>
  <c r="N58" i="4" l="1"/>
  <c r="T55" i="4"/>
  <c r="X56" i="4"/>
  <c r="E58" i="4"/>
  <c r="S55" i="4"/>
  <c r="AI52" i="4"/>
  <c r="C58" i="4" l="1"/>
  <c r="N55" i="4"/>
  <c r="P16" i="4"/>
  <c r="N16" i="4" s="1"/>
  <c r="AL53" i="4"/>
  <c r="AH52" i="4"/>
  <c r="E55" i="4"/>
  <c r="E16" i="4"/>
  <c r="V56" i="4"/>
  <c r="AK53" i="4"/>
  <c r="C55" i="4" l="1"/>
  <c r="T56" i="4"/>
  <c r="X52" i="4"/>
  <c r="AI53" i="4"/>
  <c r="S56" i="4"/>
  <c r="N56" i="4" l="1"/>
  <c r="AH53" i="4"/>
  <c r="E56" i="4"/>
  <c r="V52" i="4"/>
  <c r="C56" i="4" l="1"/>
  <c r="T52" i="4"/>
  <c r="X53" i="4"/>
  <c r="S52" i="4"/>
  <c r="N52" i="4" l="1"/>
  <c r="E52" i="4"/>
  <c r="V53" i="4"/>
  <c r="C52" i="4" l="1"/>
  <c r="T53" i="4"/>
  <c r="S53" i="4"/>
  <c r="N53" i="4" l="1"/>
  <c r="E53" i="4"/>
  <c r="C5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</author>
  </authors>
  <commentList>
    <comment ref="M10" authorId="0" shapeId="0" xr:uid="{864DEF04-D3BF-B245-873B-542AA3F04DAE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Note that we use the Perl regex synatx here. 
</t>
        </r>
        <r>
          <rPr>
            <sz val="10"/>
            <color rgb="FF000000"/>
            <rFont val="Tahoma"/>
            <family val="2"/>
          </rPr>
          <t>It will be converted automatically yo Atom's JS syntax with the rest.</t>
        </r>
      </text>
    </comment>
    <comment ref="M14" authorId="0" shapeId="0" xr:uid="{029A5E0B-1484-0C4E-B491-3AE02B134A24}">
      <text>
        <r>
          <rPr>
            <b/>
            <sz val="10"/>
            <color rgb="FF000000"/>
            <rFont val="Tahoma"/>
            <family val="2"/>
          </rPr>
          <t>AU: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what can apear as the actual 'reference' (label) once inside 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 twitter construct (such as a hashtag). So this would be the topic itself (without the '#' prefix), or the user handle (without the '@' prefix)
</t>
        </r>
      </text>
    </comment>
  </commentList>
</comments>
</file>

<file path=xl/sharedStrings.xml><?xml version="1.0" encoding="utf-8"?>
<sst xmlns="http://schemas.openxmlformats.org/spreadsheetml/2006/main" count="1040" uniqueCount="358">
  <si>
    <t>CONSIDER</t>
  </si>
  <si>
    <t>DEBUG</t>
  </si>
  <si>
    <t>FATAL</t>
  </si>
  <si>
    <t>IDEA</t>
  </si>
  <si>
    <t>INFO</t>
  </si>
  <si>
    <t>LOG</t>
  </si>
  <si>
    <t>NB</t>
  </si>
  <si>
    <t>NOTE</t>
  </si>
  <si>
    <t>PS</t>
  </si>
  <si>
    <t>QUESTION</t>
  </si>
  <si>
    <t>TASK</t>
  </si>
  <si>
    <t>CHANGED</t>
  </si>
  <si>
    <t>FIXED</t>
  </si>
  <si>
    <t>OPTIMIZED</t>
  </si>
  <si>
    <t>UNDONE</t>
  </si>
  <si>
    <t>CHGME</t>
  </si>
  <si>
    <t>FIXME</t>
  </si>
  <si>
    <t>NOTREACHED</t>
  </si>
  <si>
    <t>OPTIMIZE</t>
  </si>
  <si>
    <t>REFACTOR</t>
  </si>
  <si>
    <t>REMOVE</t>
  </si>
  <si>
    <t>REVIEW</t>
  </si>
  <si>
    <t>TODO</t>
  </si>
  <si>
    <t>ATTENTION</t>
  </si>
  <si>
    <t>ATTN</t>
  </si>
  <si>
    <t>COMBAK</t>
  </si>
  <si>
    <t>HACK</t>
  </si>
  <si>
    <t>WARN</t>
  </si>
  <si>
    <t>WARNING</t>
  </si>
  <si>
    <t>TEMP</t>
  </si>
  <si>
    <t>XXX</t>
  </si>
  <si>
    <t>DEPRECATED</t>
  </si>
  <si>
    <t>BROKEN</t>
  </si>
  <si>
    <t>BUG</t>
  </si>
  <si>
    <t>OMG</t>
  </si>
  <si>
    <t>ERR</t>
  </si>
  <si>
    <t>ERROR</t>
  </si>
  <si>
    <t>OMFGRLY</t>
  </si>
  <si>
    <t>WTF</t>
  </si>
  <si>
    <t>ETHER</t>
  </si>
  <si>
    <t>TABULO</t>
  </si>
  <si>
    <t>TAU</t>
  </si>
  <si>
    <t>category</t>
  </si>
  <si>
    <t>todo</t>
  </si>
  <si>
    <t>TODOC</t>
  </si>
  <si>
    <t>TBD</t>
  </si>
  <si>
    <t>TBS</t>
  </si>
  <si>
    <t>origin</t>
  </si>
  <si>
    <t>todo_extra</t>
  </si>
  <si>
    <t>IMPROVE</t>
  </si>
  <si>
    <t>spook</t>
  </si>
  <si>
    <t>noted</t>
  </si>
  <si>
    <t>DECIDE</t>
  </si>
  <si>
    <t>TEST</t>
  </si>
  <si>
    <t>item</t>
  </si>
  <si>
    <t>loglevel</t>
  </si>
  <si>
    <t>alert</t>
  </si>
  <si>
    <t>issue</t>
  </si>
  <si>
    <t>status</t>
  </si>
  <si>
    <t>MAYBREAK</t>
  </si>
  <si>
    <t>person</t>
  </si>
  <si>
    <t>DONE</t>
  </si>
  <si>
    <t>REVERT</t>
  </si>
  <si>
    <t>intent</t>
  </si>
  <si>
    <t>TESTED</t>
  </si>
  <si>
    <t>bad</t>
  </si>
  <si>
    <t>CRITICAL</t>
  </si>
  <si>
    <t>KENTNL</t>
  </si>
  <si>
    <t>DAGOLDEN</t>
  </si>
  <si>
    <t>remarks</t>
  </si>
  <si>
    <t>Name</t>
  </si>
  <si>
    <t>Value</t>
  </si>
  <si>
    <t>re_tw_label</t>
  </si>
  <si>
    <t>Twitter</t>
  </si>
  <si>
    <t>Noted</t>
  </si>
  <si>
    <t>shout</t>
  </si>
  <si>
    <t>TRACE</t>
  </si>
  <si>
    <t>CHANGE</t>
  </si>
  <si>
    <t>ALERT</t>
  </si>
  <si>
    <t>EMERGENCY</t>
  </si>
  <si>
    <t>NOTICE</t>
  </si>
  <si>
    <t>PANIC</t>
  </si>
  <si>
    <t>DUMP</t>
  </si>
  <si>
    <t>label</t>
  </si>
  <si>
    <t>ARGS?|ARGUMENTS?</t>
  </si>
  <si>
    <t>PARAMS?|PARAMETERS?</t>
  </si>
  <si>
    <t>OPTS?|OPTIONS?</t>
  </si>
  <si>
    <t>RETURNS?</t>
  </si>
  <si>
    <t>OTHERWISE</t>
  </si>
  <si>
    <t>doc.oo</t>
  </si>
  <si>
    <t>doc.unit</t>
  </si>
  <si>
    <t>doc.dep</t>
  </si>
  <si>
    <t>INHERITS(?: FROM)?</t>
  </si>
  <si>
    <t>EXTENDS?</t>
  </si>
  <si>
    <t>CONSUMES?</t>
  </si>
  <si>
    <t>REQUIRES?</t>
  </si>
  <si>
    <t>DELEGATES?</t>
  </si>
  <si>
    <t>([*?</t>
  </si>
  <si>
    <t>RETURN]S[?</t>
  </si>
  <si>
    <t>INTERFACES?</t>
  </si>
  <si>
    <t>ROLES?</t>
  </si>
  <si>
    <t>OBJECTS?</t>
  </si>
  <si>
    <t>CLASS(?:ES)?</t>
  </si>
  <si>
    <t>TYPES?</t>
  </si>
  <si>
    <t>UNITS?</t>
  </si>
  <si>
    <t>MODULES?</t>
  </si>
  <si>
    <t>GEMS?</t>
  </si>
  <si>
    <t>DEPENDS?(?: ON)?</t>
  </si>
  <si>
    <t>ATTR(?:IBUTE)?S?</t>
  </si>
  <si>
    <t>SLOTS?</t>
  </si>
  <si>
    <t>doc.gen</t>
  </si>
  <si>
    <t>IF</t>
  </si>
  <si>
    <t>UNLESS</t>
  </si>
  <si>
    <t>WHILE</t>
  </si>
  <si>
    <t>doc.exp</t>
  </si>
  <si>
    <t>FOR(?:EACH)</t>
  </si>
  <si>
    <t>REPEAT</t>
  </si>
  <si>
    <t>UNTIL</t>
  </si>
  <si>
    <t>EXIT</t>
  </si>
  <si>
    <t>BREAK</t>
  </si>
  <si>
    <t>NEXT</t>
  </si>
  <si>
    <t>CONTINUE</t>
  </si>
  <si>
    <t>LAST</t>
  </si>
  <si>
    <t>LOOP</t>
  </si>
  <si>
    <t>KEYS?</t>
  </si>
  <si>
    <t>VALUES?</t>
  </si>
  <si>
    <t>ARRAY</t>
  </si>
  <si>
    <t>HASH</t>
  </si>
  <si>
    <t>REF</t>
  </si>
  <si>
    <t>ARRAY_?REF</t>
  </si>
  <si>
    <t>HASH_?REF</t>
  </si>
  <si>
    <t>PKGS?|PACKAGES?</t>
  </si>
  <si>
    <t>CONSUME</t>
  </si>
  <si>
    <t>DELEGATE</t>
  </si>
  <si>
    <t>DEPENDS</t>
  </si>
  <si>
    <t>EXTENDS</t>
  </si>
  <si>
    <t>INHERITS</t>
  </si>
  <si>
    <t>REQUIRES</t>
  </si>
  <si>
    <t/>
  </si>
  <si>
    <t>FOR</t>
  </si>
  <si>
    <t>ARRAY_REF</t>
  </si>
  <si>
    <t>HASH_REF</t>
  </si>
  <si>
    <t>TYPE</t>
  </si>
  <si>
    <t>VALUE</t>
  </si>
  <si>
    <t>KEY</t>
  </si>
  <si>
    <t>ATTRIBUTE</t>
  </si>
  <si>
    <t>CLASS</t>
  </si>
  <si>
    <t>INTERFACE</t>
  </si>
  <si>
    <t>OBJECT</t>
  </si>
  <si>
    <t>PROPERTY</t>
  </si>
  <si>
    <t>ROLE</t>
  </si>
  <si>
    <t>SLOT</t>
  </si>
  <si>
    <t>(?:ON |_)?FAIL(?:URE)?</t>
  </si>
  <si>
    <t>(?:ON |_)?SUCCESS</t>
  </si>
  <si>
    <t>ON_FAILURE</t>
  </si>
  <si>
    <t>ON_SUCCESS</t>
  </si>
  <si>
    <t>ARGUMENTS</t>
  </si>
  <si>
    <t>OPTIONS</t>
  </si>
  <si>
    <t>PARAMETERS</t>
  </si>
  <si>
    <t>RETURN</t>
  </si>
  <si>
    <t>SWITCH</t>
  </si>
  <si>
    <t>GEM</t>
  </si>
  <si>
    <t>LIBRARY</t>
  </si>
  <si>
    <t>MODULE</t>
  </si>
  <si>
    <t>PACKAGE</t>
  </si>
  <si>
    <t>UNIT</t>
  </si>
  <si>
    <t>SWITCHES</t>
  </si>
  <si>
    <t>notedoc</t>
  </si>
  <si>
    <t>in_notedoc</t>
  </si>
  <si>
    <t>in_noted</t>
  </si>
  <si>
    <t>PROPS?|PROPERT(?:Y|IES)?</t>
  </si>
  <si>
    <t>LIB(?:RARY)?</t>
  </si>
  <si>
    <t>hasUnsafeRegex</t>
  </si>
  <si>
    <t>regexTerm</t>
  </si>
  <si>
    <t>regexTermInput</t>
  </si>
  <si>
    <t>anyRegexGuess</t>
  </si>
  <si>
    <t>unsafeRegexGuess</t>
  </si>
  <si>
    <t>hasAnyRegex</t>
  </si>
  <si>
    <t>doc.routine</t>
  </si>
  <si>
    <t>FUNCTION</t>
  </si>
  <si>
    <t>FUNC(?:TION)S?</t>
  </si>
  <si>
    <t>METHODS?</t>
  </si>
  <si>
    <t>(?:SUB)ROUTINES?</t>
  </si>
  <si>
    <t>PROC(?:EDURE)S?</t>
  </si>
  <si>
    <t>METHOD</t>
  </si>
  <si>
    <t>SUBROUTINE</t>
  </si>
  <si>
    <t>PROCEDURE</t>
  </si>
  <si>
    <t>PROGRAM</t>
  </si>
  <si>
    <t>PRGS?|PROG(?:RAMM?E?)S?</t>
  </si>
  <si>
    <t>MAIN</t>
  </si>
  <si>
    <t>SCRIPT</t>
  </si>
  <si>
    <t>EXECUTABLE</t>
  </si>
  <si>
    <t>EXE(?:CUTABLE)S?</t>
  </si>
  <si>
    <t>SCRIPTS?</t>
  </si>
  <si>
    <t>BINARY</t>
  </si>
  <si>
    <t>BINS?|BINAR(?:Y|IES)</t>
  </si>
  <si>
    <t>COMMAND</t>
  </si>
  <si>
    <t>CMDS?|COMMANDS?</t>
  </si>
  <si>
    <t>CLI</t>
  </si>
  <si>
    <t>SHELL</t>
  </si>
  <si>
    <t>SHELLS?</t>
  </si>
  <si>
    <t>SYSTEM</t>
  </si>
  <si>
    <t>OS|(?:OPERATING )?SYSTEMS?</t>
  </si>
  <si>
    <t>LINUX</t>
  </si>
  <si>
    <t>UNIX</t>
  </si>
  <si>
    <t>MACOS</t>
  </si>
  <si>
    <t>MACOS|MAC|OS X</t>
  </si>
  <si>
    <t>WINDOWS</t>
  </si>
  <si>
    <t>DOS</t>
  </si>
  <si>
    <t>ANDROID</t>
  </si>
  <si>
    <t>IOS</t>
  </si>
  <si>
    <t>doc.program</t>
  </si>
  <si>
    <t>doc.system</t>
  </si>
  <si>
    <t>Column1</t>
  </si>
  <si>
    <t>filan</t>
  </si>
  <si>
    <t>falan</t>
  </si>
  <si>
    <t>gibi</t>
  </si>
  <si>
    <t>Atom</t>
  </si>
  <si>
    <t>re_atom_pattern_end</t>
  </si>
  <si>
    <t>Perl Regex</t>
  </si>
  <si>
    <t>JS Regex</t>
  </si>
  <si>
    <t>lang</t>
  </si>
  <si>
    <t>Filan \w gibi</t>
  </si>
  <si>
    <t>regex_perl</t>
  </si>
  <si>
    <t>regex_atom</t>
  </si>
  <si>
    <t>rule_name</t>
  </si>
  <si>
    <t>ok</t>
  </si>
  <si>
    <t>doc.sub</t>
  </si>
  <si>
    <t>grammatic_name</t>
  </si>
  <si>
    <t>target_lang</t>
  </si>
  <si>
    <t>doc.prg</t>
  </si>
  <si>
    <t>doc.sys</t>
  </si>
  <si>
    <t>note</t>
  </si>
  <si>
    <t>spooky</t>
  </si>
  <si>
    <t>good</t>
  </si>
  <si>
    <t>neutral</t>
  </si>
  <si>
    <t>log</t>
  </si>
  <si>
    <t>storage.type.class.${1:/downcase}._noted-{{category}}._level-{{level}}._feeling-{{emotion}}.text.{{lang}}</t>
  </si>
  <si>
    <t>g_tag_{{category}}_level_{{level}}_feeling_{{emotion}}</t>
  </si>
  <si>
    <t>re_tw_reference</t>
  </si>
  <si>
    <t>+</t>
  </si>
  <si>
    <t>#@</t>
  </si>
  <si>
    <t>!</t>
  </si>
  <si>
    <t>%</t>
  </si>
  <si>
    <t>?</t>
  </si>
  <si>
    <t>re_tag_noted</t>
  </si>
  <si>
    <t>(?:!\w)</t>
  </si>
  <si>
    <t>\b</t>
  </si>
  <si>
    <t>Context</t>
  </si>
  <si>
    <t>begin</t>
  </si>
  <si>
    <t>end</t>
  </si>
  <si>
    <t>re_tag_label</t>
  </si>
  <si>
    <t>re_tw_refsymbol</t>
  </si>
  <si>
    <t>*</t>
  </si>
  <si>
    <t>\w*[0-9a-zA-Z_]+\w*[0-9a-zA-Z_]</t>
  </si>
  <si>
    <t>re_atom_pattern_before</t>
  </si>
  <si>
    <t>re_tag_before</t>
  </si>
  <si>
    <t>re_tag_after</t>
  </si>
  <si>
    <t>after</t>
  </si>
  <si>
    <t>before</t>
  </si>
  <si>
    <t>regex</t>
  </si>
  <si>
    <t>re_escaped</t>
  </si>
  <si>
    <t>re_atomized</t>
  </si>
  <si>
    <t>form</t>
  </si>
  <si>
    <t>re_tag_type</t>
  </si>
  <si>
    <t>cs_tag_type</t>
  </si>
  <si>
    <t>custom</t>
  </si>
  <si>
    <t>use</t>
  </si>
  <si>
    <t>[#@]</t>
  </si>
  <si>
    <t>rule_name_template</t>
  </si>
  <si>
    <t>rule_group_template</t>
  </si>
  <si>
    <t>REGEX_CAPTURE</t>
  </si>
  <si>
    <t>noCalc</t>
  </si>
  <si>
    <t>reHashChars</t>
  </si>
  <si>
    <t>reLabel</t>
  </si>
  <si>
    <t>^</t>
  </si>
  <si>
    <t>$</t>
  </si>
  <si>
    <t>reSpiritSymbolChars</t>
  </si>
  <si>
    <t>rePrelude</t>
  </si>
  <si>
    <t>reSpiritSymbolQ</t>
  </si>
  <si>
    <t>reSpan</t>
  </si>
  <si>
    <t>reHashSymbol</t>
  </si>
  <si>
    <t>ReHashSymbolQ</t>
  </si>
  <si>
    <t>Summary</t>
  </si>
  <si>
    <t>re_tag_label_simple</t>
  </si>
  <si>
    <t>re_tag_before_simple</t>
  </si>
  <si>
    <t>re_tag_after_simple</t>
  </si>
  <si>
    <t>rule_body</t>
  </si>
  <si>
    <t>newline</t>
  </si>
  <si>
    <t xml:space="preserve">
</t>
  </si>
  <si>
    <t>spirit</t>
  </si>
  <si>
    <t>rule</t>
  </si>
  <si>
    <t>undef</t>
  </si>
  <si>
    <t>rule_name_pfx</t>
  </si>
  <si>
    <t>(?&lt;!\w)</t>
  </si>
  <si>
    <t>(?:\w|[\-])+</t>
  </si>
  <si>
    <t>General</t>
  </si>
  <si>
    <t>fishy</t>
  </si>
  <si>
    <t>&amp;</t>
  </si>
  <si>
    <t>:</t>
  </si>
  <si>
    <t>\-</t>
  </si>
  <si>
    <t>curious</t>
  </si>
  <si>
    <t>eager</t>
  </si>
  <si>
    <t>;</t>
  </si>
  <si>
    <t>bland</t>
  </si>
  <si>
    <t>bland.dull</t>
  </si>
  <si>
    <t>bland.verbose</t>
  </si>
  <si>
    <t>rule_inclusion</t>
  </si>
  <si>
    <t>bad.3</t>
  </si>
  <si>
    <t>bad.2</t>
  </si>
  <si>
    <t>bad.4</t>
  </si>
  <si>
    <t>bad.5</t>
  </si>
  <si>
    <t>~</t>
  </si>
  <si>
    <t>reLevel</t>
  </si>
  <si>
    <t>0-9</t>
  </si>
  <si>
    <t>reLevelChars</t>
  </si>
  <si>
    <t>reLevelCharsQ</t>
  </si>
  <si>
    <t>reSpiritDesignator</t>
  </si>
  <si>
    <t>reHashRef</t>
  </si>
  <si>
    <t>reRefType</t>
  </si>
  <si>
    <t>dull</t>
  </si>
  <si>
    <t>verbose</t>
  </si>
  <si>
    <t>sortOrder</t>
  </si>
  <si>
    <t>0-10</t>
  </si>
  <si>
    <t>artisan</t>
  </si>
  <si>
    <t>scope_suffix</t>
  </si>
  <si>
    <t>notelet</t>
  </si>
  <si>
    <t>spirit_prefix</t>
  </si>
  <si>
    <t>ename</t>
  </si>
  <si>
    <t>spirit_placeholder</t>
  </si>
  <si>
    <t>{{SPIRIT}}</t>
  </si>
  <si>
    <t>dynamic_subscope_mask</t>
  </si>
  <si>
    <t>markup_subscope_mask</t>
  </si>
  <si>
    <t>meta_subscope_mask</t>
  </si>
  <si>
    <t>spirit_spec</t>
  </si>
  <si>
    <t>text.noted</t>
  </si>
  <si>
    <t>spirit_spec_full</t>
  </si>
  <si>
    <t>meta_subscope</t>
  </si>
  <si>
    <t>markup_subscope</t>
  </si>
  <si>
    <t>dynamic_subscope</t>
  </si>
  <si>
    <t>reSpiritSymbol</t>
  </si>
  <si>
    <t>meta_subscope_cap</t>
  </si>
  <si>
    <t>dynamic_subscope_cap</t>
  </si>
  <si>
    <t>markup_subscope_cap</t>
  </si>
  <si>
    <t>&gt;</t>
  </si>
  <si>
    <t>pertinent</t>
  </si>
  <si>
    <t>alternate</t>
  </si>
  <si>
    <t>extra_spec</t>
  </si>
  <si>
    <t>\,</t>
  </si>
  <si>
    <t>_</t>
  </si>
  <si>
    <t>0-8</t>
  </si>
  <si>
    <t>shaky</t>
  </si>
  <si>
    <t>-</t>
  </si>
  <si>
    <t>,</t>
  </si>
  <si>
    <t>#</t>
  </si>
  <si>
    <t>@</t>
  </si>
  <si>
    <t>hashtaggy</t>
  </si>
  <si>
    <t>mentionny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</si>
</sst>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2"/>
      <color theme="1"/>
      <name val="Cousine"/>
      <family val="2"/>
    </font>
    <font>
      <b/>
      <sz val="12"/>
      <color theme="0"/>
      <name val="Cousine"/>
      <family val="2"/>
    </font>
    <font>
      <b/>
      <sz val="12"/>
      <color theme="1"/>
      <name val="Cousine"/>
      <family val="2"/>
    </font>
    <font>
      <u/>
      <sz val="12"/>
      <color theme="10"/>
      <name val="Cousine"/>
      <family val="2"/>
    </font>
    <font>
      <sz val="10"/>
      <color theme="1"/>
      <name val="Cousine"/>
      <family val="2"/>
    </font>
    <font>
      <i/>
      <sz val="12"/>
      <color theme="1"/>
      <name val="Cousine"/>
      <family val="2"/>
    </font>
    <font>
      <b/>
      <sz val="10"/>
      <color theme="0"/>
      <name val="Cousine"/>
      <family val="2"/>
    </font>
    <font>
      <sz val="12"/>
      <color theme="0" tint="-0.14999847407452621"/>
      <name val="Cousine"/>
      <family val="2"/>
    </font>
    <font>
      <sz val="10"/>
      <color theme="1"/>
      <name val="Arial Unicode MS"/>
      <family val="2"/>
    </font>
    <font>
      <i/>
      <sz val="10"/>
      <color theme="1"/>
      <name val="Cousine"/>
      <family val="2"/>
    </font>
    <font>
      <i/>
      <sz val="10"/>
      <color theme="0" tint="-0.249977111117893"/>
      <name val="Cousine"/>
      <family val="2"/>
    </font>
    <font>
      <sz val="10"/>
      <color theme="0" tint="-0.249977111117893"/>
      <name val="Cousine"/>
      <family val="2"/>
    </font>
    <font>
      <i/>
      <sz val="10"/>
      <color theme="0" tint="-0.34998626667073579"/>
      <name val="Cousine"/>
      <family val="2"/>
    </font>
    <font>
      <sz val="12"/>
      <color theme="0" tint="-0.34998626667073579"/>
      <name val="Cousine"/>
      <family val="2"/>
    </font>
    <font>
      <sz val="10"/>
      <color theme="0" tint="-0.34998626667073579"/>
      <name val="Cousine"/>
      <family val="2"/>
    </font>
    <font>
      <sz val="10"/>
      <color rgb="FF000000"/>
      <name val="Cousine"/>
      <family val="2"/>
    </font>
    <font>
      <b/>
      <sz val="10"/>
      <color theme="1"/>
      <name val="Cousine"/>
      <family val="2"/>
    </font>
    <font>
      <i/>
      <sz val="10"/>
      <color theme="1"/>
      <name val="Arial Unicode MS"/>
      <family val="2"/>
    </font>
    <font>
      <sz val="9"/>
      <color theme="1"/>
      <name val="Cousine"/>
      <family val="2"/>
    </font>
    <font>
      <sz val="10"/>
      <name val="Cousine"/>
      <family val="2"/>
    </font>
    <font>
      <u/>
      <sz val="10"/>
      <color theme="10"/>
      <name val="Cousine"/>
      <family val="2"/>
    </font>
    <font>
      <b/>
      <sz val="10"/>
      <name val="Cousine"/>
      <family val="2"/>
    </font>
    <font>
      <b/>
      <sz val="9"/>
      <color theme="0"/>
      <name val="Cousine"/>
      <family val="2"/>
    </font>
    <font>
      <u/>
      <sz val="9"/>
      <color theme="10"/>
      <name val="Cousine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theme="0" tint="-4.9989318521683403E-2"/>
      <name val="Cousine"/>
      <family val="2"/>
    </font>
    <font>
      <b/>
      <i/>
      <sz val="12"/>
      <color theme="1"/>
      <name val="Cousine"/>
      <family val="2"/>
    </font>
    <font>
      <b/>
      <i/>
      <sz val="12"/>
      <color theme="0"/>
      <name val="Cousine"/>
      <family val="2"/>
    </font>
    <font>
      <b/>
      <sz val="8"/>
      <color theme="2" tint="-0.499984740745262"/>
      <name val="Cousine"/>
      <family val="2"/>
    </font>
    <font>
      <sz val="8"/>
      <color theme="2" tint="-0.499984740745262"/>
      <name val="Cousine"/>
      <family val="2"/>
    </font>
    <font>
      <b/>
      <sz val="7"/>
      <color theme="2" tint="-0.499984740745262"/>
      <name val="Cousine"/>
      <family val="2"/>
    </font>
    <font>
      <sz val="7"/>
      <color theme="2" tint="-0.499984740745262"/>
      <name val="Cousine"/>
      <family val="2"/>
    </font>
    <font>
      <sz val="9"/>
      <color theme="2" tint="-0.499984740745262"/>
      <name val="Cousine"/>
      <family val="2"/>
    </font>
    <font>
      <b/>
      <sz val="9"/>
      <color theme="2" tint="-0.499984740745262"/>
      <name val="Cousine"/>
      <family val="2"/>
    </font>
    <font>
      <b/>
      <sz val="9"/>
      <color theme="1"/>
      <name val="Cousine"/>
      <family val="2"/>
    </font>
    <font>
      <b/>
      <sz val="9"/>
      <name val="Cousine"/>
      <family val="2"/>
    </font>
    <font>
      <b/>
      <i/>
      <sz val="10"/>
      <color theme="1"/>
      <name val="Cousine"/>
      <family val="2"/>
    </font>
    <font>
      <b/>
      <sz val="10"/>
      <color theme="2" tint="-0.499984740745262"/>
      <name val="Cousine"/>
      <family val="2"/>
    </font>
    <font>
      <sz val="10"/>
      <color theme="2" tint="-0.499984740745262"/>
      <name val="Cousine"/>
      <family val="2"/>
    </font>
    <font>
      <sz val="10"/>
      <color theme="10"/>
      <name val="Cousine"/>
      <family val="2"/>
    </font>
    <font>
      <b/>
      <i/>
      <sz val="10"/>
      <name val="Cousine"/>
      <family val="2"/>
    </font>
    <font>
      <sz val="12"/>
      <color theme="2" tint="-0.249977111117893"/>
      <name val="Cousine"/>
      <family val="2"/>
    </font>
    <font>
      <b/>
      <i/>
      <sz val="12"/>
      <color theme="2" tint="-0.249977111117893"/>
      <name val="Cousine"/>
      <family val="2"/>
    </font>
    <font>
      <sz val="9"/>
      <color theme="2" tint="-0.249977111117893"/>
      <name val="Cousine"/>
      <family val="2"/>
    </font>
    <font>
      <sz val="10"/>
      <color theme="2" tint="-0.249977111117893"/>
      <name val="Cousine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A49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BC2E6"/>
        <bgColor rgb="FF000000"/>
      </patternFill>
    </fill>
    <fill>
      <patternFill patternType="solid">
        <fgColor rgb="FF9BC2E6"/>
        <bgColor rgb="FFD9E1F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1" fillId="2" borderId="0" xfId="0" applyFont="1" applyFill="1" applyAlignment="1">
      <alignment vertical="top"/>
    </xf>
    <xf numFmtId="0" fontId="6" fillId="2" borderId="0" xfId="0" applyFont="1" applyFill="1" applyAlignment="1">
      <alignment vertical="top"/>
    </xf>
    <xf numFmtId="0" fontId="0" fillId="0" borderId="0" xfId="0" quotePrefix="1"/>
    <xf numFmtId="0" fontId="7" fillId="0" borderId="0" xfId="0" applyFont="1"/>
    <xf numFmtId="0" fontId="8" fillId="0" borderId="0" xfId="0" applyFont="1"/>
    <xf numFmtId="0" fontId="9" fillId="0" borderId="0" xfId="0" applyFont="1"/>
    <xf numFmtId="0" fontId="4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7" fillId="0" borderId="0" xfId="0" applyNumberFormat="1" applyFont="1"/>
    <xf numFmtId="0" fontId="17" fillId="0" borderId="0" xfId="0" applyFont="1" applyProtection="1">
      <protection locked="0"/>
    </xf>
    <xf numFmtId="0" fontId="9" fillId="0" borderId="0" xfId="0" applyNumberFormat="1" applyFont="1"/>
    <xf numFmtId="0" fontId="10" fillId="0" borderId="0" xfId="0" applyNumberFormat="1" applyFont="1"/>
    <xf numFmtId="0" fontId="12" fillId="0" borderId="0" xfId="0" applyNumberFormat="1" applyFont="1"/>
    <xf numFmtId="0" fontId="0" fillId="0" borderId="0" xfId="0" applyAlignment="1">
      <alignment vertical="top" wrapText="1"/>
    </xf>
    <xf numFmtId="0" fontId="18" fillId="0" borderId="0" xfId="0" applyFont="1" applyProtection="1">
      <protection locked="0"/>
    </xf>
    <xf numFmtId="0" fontId="18" fillId="0" borderId="0" xfId="0" applyFont="1"/>
    <xf numFmtId="0" fontId="19" fillId="0" borderId="0" xfId="0" applyFont="1"/>
    <xf numFmtId="0" fontId="0" fillId="0" borderId="0" xfId="0" applyFill="1" applyAlignment="1">
      <alignment vertical="top"/>
    </xf>
    <xf numFmtId="0" fontId="4" fillId="0" borderId="0" xfId="0" applyFont="1" applyFill="1" applyAlignment="1">
      <alignment vertical="top"/>
    </xf>
    <xf numFmtId="0" fontId="4" fillId="0" borderId="0" xfId="0" applyFont="1" applyFill="1" applyAlignment="1">
      <alignment vertical="top" wrapText="1"/>
    </xf>
    <xf numFmtId="0" fontId="20" fillId="0" borderId="0" xfId="1" applyFont="1" applyAlignment="1">
      <alignment vertical="top"/>
    </xf>
    <xf numFmtId="0" fontId="4" fillId="0" borderId="0" xfId="0" quotePrefix="1" applyFont="1" applyAlignment="1">
      <alignment vertical="top"/>
    </xf>
    <xf numFmtId="0" fontId="6" fillId="3" borderId="0" xfId="0" applyFont="1" applyFill="1" applyAlignment="1">
      <alignment vertical="top"/>
    </xf>
    <xf numFmtId="0" fontId="6" fillId="4" borderId="0" xfId="0" applyFont="1" applyFill="1" applyAlignment="1">
      <alignment vertical="top"/>
    </xf>
    <xf numFmtId="0" fontId="3" fillId="0" borderId="0" xfId="1" applyFill="1" applyAlignment="1">
      <alignment vertical="top"/>
    </xf>
    <xf numFmtId="0" fontId="6" fillId="5" borderId="0" xfId="0" applyFont="1" applyFill="1" applyAlignment="1">
      <alignment vertical="top"/>
    </xf>
    <xf numFmtId="0" fontId="4" fillId="0" borderId="0" xfId="0" applyNumberFormat="1" applyFont="1" applyFill="1" applyAlignment="1">
      <alignment vertical="top"/>
    </xf>
    <xf numFmtId="0" fontId="6" fillId="6" borderId="0" xfId="0" applyFont="1" applyFill="1" applyAlignment="1">
      <alignment vertical="top"/>
    </xf>
    <xf numFmtId="0" fontId="18" fillId="0" borderId="0" xfId="0" applyFont="1" applyAlignment="1">
      <alignment vertical="top"/>
    </xf>
    <xf numFmtId="0" fontId="22" fillId="2" borderId="0" xfId="0" applyFont="1" applyFill="1" applyAlignment="1">
      <alignment vertical="top"/>
    </xf>
    <xf numFmtId="0" fontId="18" fillId="0" borderId="0" xfId="0" applyFont="1" applyFill="1" applyAlignment="1">
      <alignment vertical="top"/>
    </xf>
    <xf numFmtId="0" fontId="7" fillId="0" borderId="0" xfId="0" applyFont="1" applyFill="1" applyAlignment="1">
      <alignment vertical="top"/>
    </xf>
    <xf numFmtId="0" fontId="2" fillId="0" borderId="0" xfId="0" applyFont="1" applyFill="1" applyAlignment="1">
      <alignment vertical="top"/>
    </xf>
    <xf numFmtId="0" fontId="6" fillId="7" borderId="0" xfId="0" applyFont="1" applyFill="1" applyAlignment="1">
      <alignment vertical="top"/>
    </xf>
    <xf numFmtId="0" fontId="4" fillId="0" borderId="0" xfId="0" quotePrefix="1" applyFont="1" applyFill="1" applyAlignment="1">
      <alignment vertical="top"/>
    </xf>
    <xf numFmtId="0" fontId="6" fillId="8" borderId="0" xfId="0" applyFont="1" applyFill="1" applyAlignment="1">
      <alignment vertical="top"/>
    </xf>
    <xf numFmtId="0" fontId="21" fillId="10" borderId="0" xfId="0" applyFont="1" applyFill="1" applyAlignment="1">
      <alignment vertical="top"/>
    </xf>
    <xf numFmtId="0" fontId="21" fillId="11" borderId="0" xfId="0" applyFont="1" applyFill="1" applyAlignment="1">
      <alignment vertical="top"/>
    </xf>
    <xf numFmtId="0" fontId="26" fillId="7" borderId="0" xfId="0" applyFont="1" applyFill="1" applyAlignment="1">
      <alignment vertical="top"/>
    </xf>
    <xf numFmtId="0" fontId="6" fillId="12" borderId="0" xfId="0" applyFont="1" applyFill="1" applyAlignment="1">
      <alignment vertical="top"/>
    </xf>
    <xf numFmtId="0" fontId="0" fillId="0" borderId="0" xfId="0" applyFont="1" applyAlignment="1">
      <alignment vertical="top"/>
    </xf>
    <xf numFmtId="0" fontId="0" fillId="13" borderId="0" xfId="0" applyFont="1" applyFill="1" applyAlignment="1">
      <alignment vertical="top"/>
    </xf>
    <xf numFmtId="0" fontId="2" fillId="13" borderId="0" xfId="0" applyFont="1" applyFill="1" applyAlignment="1">
      <alignment vertical="top"/>
    </xf>
    <xf numFmtId="0" fontId="27" fillId="13" borderId="0" xfId="0" applyFont="1" applyFill="1" applyAlignment="1">
      <alignment vertical="top"/>
    </xf>
    <xf numFmtId="0" fontId="28" fillId="2" borderId="0" xfId="0" applyFont="1" applyFill="1" applyAlignment="1">
      <alignment vertical="top"/>
    </xf>
    <xf numFmtId="0" fontId="27" fillId="0" borderId="0" xfId="0" applyFont="1" applyFill="1" applyAlignment="1">
      <alignment vertical="top"/>
    </xf>
    <xf numFmtId="0" fontId="27" fillId="0" borderId="0" xfId="0" applyFont="1" applyAlignment="1">
      <alignment vertical="top"/>
    </xf>
    <xf numFmtId="0" fontId="27" fillId="9" borderId="0" xfId="0" applyFont="1" applyFill="1" applyAlignment="1">
      <alignment vertical="top"/>
    </xf>
    <xf numFmtId="0" fontId="7" fillId="0" borderId="0" xfId="0" applyFont="1" applyFill="1" applyAlignment="1">
      <alignment vertical="top" wrapText="1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2" fillId="0" borderId="0" xfId="0" applyFont="1" applyFill="1" applyAlignment="1">
      <alignment vertical="top"/>
    </xf>
    <xf numFmtId="0" fontId="7" fillId="15" borderId="0" xfId="0" applyFont="1" applyFill="1" applyAlignment="1">
      <alignment vertical="top"/>
    </xf>
    <xf numFmtId="0" fontId="30" fillId="15" borderId="0" xfId="0" applyFont="1" applyFill="1" applyAlignment="1">
      <alignment vertical="top"/>
    </xf>
    <xf numFmtId="0" fontId="32" fillId="15" borderId="0" xfId="0" applyFont="1" applyFill="1" applyAlignment="1">
      <alignment vertical="top"/>
    </xf>
    <xf numFmtId="0" fontId="18" fillId="15" borderId="0" xfId="0" applyFont="1" applyFill="1" applyAlignment="1">
      <alignment vertical="top"/>
    </xf>
    <xf numFmtId="0" fontId="33" fillId="0" borderId="0" xfId="0" applyFont="1" applyFill="1" applyAlignment="1">
      <alignment vertical="top"/>
    </xf>
    <xf numFmtId="0" fontId="34" fillId="0" borderId="0" xfId="0" applyFont="1" applyFill="1" applyAlignment="1">
      <alignment vertical="top"/>
    </xf>
    <xf numFmtId="0" fontId="33" fillId="15" borderId="0" xfId="0" applyFont="1" applyFill="1" applyAlignment="1">
      <alignment vertical="top"/>
    </xf>
    <xf numFmtId="0" fontId="33" fillId="0" borderId="0" xfId="0" applyNumberFormat="1" applyFont="1" applyFill="1" applyAlignment="1">
      <alignment vertical="top"/>
    </xf>
    <xf numFmtId="0" fontId="30" fillId="0" borderId="0" xfId="0" applyNumberFormat="1" applyFont="1" applyFill="1" applyAlignment="1">
      <alignment vertical="top"/>
    </xf>
    <xf numFmtId="0" fontId="32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0" fontId="18" fillId="0" borderId="0" xfId="0" applyNumberFormat="1" applyFont="1" applyFill="1" applyAlignment="1">
      <alignment horizontal="center" vertical="top"/>
    </xf>
    <xf numFmtId="0" fontId="22" fillId="0" borderId="0" xfId="0" applyNumberFormat="1" applyFont="1" applyFill="1" applyAlignment="1">
      <alignment vertical="top"/>
    </xf>
    <xf numFmtId="0" fontId="23" fillId="0" borderId="0" xfId="1" applyFont="1" applyFill="1" applyAlignment="1">
      <alignment vertical="top"/>
    </xf>
    <xf numFmtId="0" fontId="36" fillId="0" borderId="0" xfId="0" applyNumberFormat="1" applyFont="1" applyFill="1" applyAlignment="1">
      <alignment vertical="top"/>
    </xf>
    <xf numFmtId="0" fontId="36" fillId="0" borderId="0" xfId="0" applyFont="1" applyFill="1" applyAlignment="1">
      <alignment vertical="top"/>
    </xf>
    <xf numFmtId="0" fontId="18" fillId="0" borderId="0" xfId="0" quotePrefix="1" applyFont="1" applyFill="1" applyAlignment="1">
      <alignment horizontal="center" vertical="top"/>
    </xf>
    <xf numFmtId="0" fontId="18" fillId="0" borderId="0" xfId="0" quotePrefix="1" applyFont="1" applyFill="1" applyAlignment="1">
      <alignment vertical="top"/>
    </xf>
    <xf numFmtId="0" fontId="18" fillId="0" borderId="0" xfId="0" applyFont="1" applyFill="1" applyAlignment="1">
      <alignment vertical="top" wrapText="1"/>
    </xf>
    <xf numFmtId="0" fontId="35" fillId="0" borderId="0" xfId="0" quotePrefix="1" applyFont="1" applyFill="1" applyAlignment="1">
      <alignment vertical="top"/>
    </xf>
    <xf numFmtId="0" fontId="23" fillId="0" borderId="0" xfId="1" quotePrefix="1" applyFont="1" applyFill="1" applyAlignment="1">
      <alignment vertical="top"/>
    </xf>
    <xf numFmtId="0" fontId="37" fillId="0" borderId="0" xfId="0" applyFont="1" applyFill="1" applyAlignment="1">
      <alignment vertical="top"/>
    </xf>
    <xf numFmtId="0" fontId="37" fillId="15" borderId="0" xfId="0" applyFont="1" applyFill="1" applyAlignment="1">
      <alignment vertical="top"/>
    </xf>
    <xf numFmtId="0" fontId="38" fillId="0" borderId="0" xfId="0" applyFont="1" applyFill="1" applyAlignment="1">
      <alignment vertical="top"/>
    </xf>
    <xf numFmtId="0" fontId="39" fillId="0" borderId="0" xfId="0" applyFont="1" applyFill="1" applyAlignment="1">
      <alignment vertical="top"/>
    </xf>
    <xf numFmtId="0" fontId="39" fillId="15" borderId="0" xfId="0" applyFont="1" applyFill="1" applyAlignment="1">
      <alignment vertical="top"/>
    </xf>
    <xf numFmtId="0" fontId="39" fillId="0" borderId="0" xfId="0" applyFont="1" applyFill="1" applyAlignment="1">
      <alignment vertical="top" wrapText="1"/>
    </xf>
    <xf numFmtId="0" fontId="30" fillId="0" borderId="0" xfId="0" applyFont="1" applyFill="1" applyAlignment="1">
      <alignment vertical="top" wrapText="1"/>
    </xf>
    <xf numFmtId="0" fontId="30" fillId="15" borderId="0" xfId="0" applyFont="1" applyFill="1" applyAlignment="1">
      <alignment vertical="top" wrapText="1"/>
    </xf>
    <xf numFmtId="0" fontId="30" fillId="0" borderId="0" xfId="0" applyNumberFormat="1" applyFont="1" applyFill="1" applyAlignment="1">
      <alignment vertical="top" wrapText="1"/>
    </xf>
    <xf numFmtId="0" fontId="40" fillId="0" borderId="0" xfId="1" applyFont="1" applyFill="1" applyAlignment="1">
      <alignment vertical="top"/>
    </xf>
    <xf numFmtId="0" fontId="40" fillId="0" borderId="0" xfId="1" quotePrefix="1" applyFont="1" applyFill="1" applyAlignment="1">
      <alignment vertical="top"/>
    </xf>
    <xf numFmtId="0" fontId="2" fillId="9" borderId="0" xfId="0" applyFont="1" applyFill="1" applyAlignment="1">
      <alignment vertical="top"/>
    </xf>
    <xf numFmtId="0" fontId="35" fillId="9" borderId="0" xfId="0" applyFont="1" applyFill="1" applyAlignment="1">
      <alignment vertical="top"/>
    </xf>
    <xf numFmtId="0" fontId="16" fillId="0" borderId="0" xfId="0" applyFont="1" applyAlignment="1">
      <alignment vertical="top"/>
    </xf>
    <xf numFmtId="0" fontId="4" fillId="0" borderId="1" xfId="0" applyFont="1" applyBorder="1" applyAlignment="1">
      <alignment vertical="top"/>
    </xf>
    <xf numFmtId="0" fontId="4" fillId="16" borderId="1" xfId="0" applyFont="1" applyFill="1" applyBorder="1" applyAlignment="1">
      <alignment vertical="top"/>
    </xf>
    <xf numFmtId="0" fontId="39" fillId="0" borderId="1" xfId="0" applyFont="1" applyBorder="1" applyAlignment="1">
      <alignment vertical="top"/>
    </xf>
    <xf numFmtId="0" fontId="39" fillId="16" borderId="1" xfId="0" applyFont="1" applyFill="1" applyBorder="1" applyAlignment="1">
      <alignment vertical="top"/>
    </xf>
    <xf numFmtId="0" fontId="39" fillId="0" borderId="1" xfId="0" applyFont="1" applyBorder="1" applyAlignment="1">
      <alignment vertical="top" wrapText="1"/>
    </xf>
    <xf numFmtId="0" fontId="40" fillId="0" borderId="1" xfId="1" applyFont="1" applyBorder="1" applyAlignment="1">
      <alignment vertical="top"/>
    </xf>
    <xf numFmtId="0" fontId="39" fillId="16" borderId="1" xfId="0" applyFont="1" applyFill="1" applyBorder="1" applyAlignment="1">
      <alignment vertical="top" wrapText="1"/>
    </xf>
    <xf numFmtId="0" fontId="40" fillId="16" borderId="1" xfId="1" applyFont="1" applyFill="1" applyBorder="1" applyAlignment="1">
      <alignment vertical="top"/>
    </xf>
    <xf numFmtId="0" fontId="34" fillId="0" borderId="0" xfId="0" applyNumberFormat="1" applyFont="1" applyFill="1" applyAlignment="1">
      <alignment vertical="top"/>
    </xf>
    <xf numFmtId="0" fontId="29" fillId="0" borderId="0" xfId="0" applyNumberFormat="1" applyFont="1" applyFill="1" applyAlignment="1">
      <alignment vertical="top"/>
    </xf>
    <xf numFmtId="0" fontId="18" fillId="0" borderId="0" xfId="0" quotePrefix="1" applyNumberFormat="1" applyFont="1" applyFill="1" applyAlignment="1">
      <alignment horizontal="center" vertical="top"/>
    </xf>
    <xf numFmtId="0" fontId="18" fillId="0" borderId="0" xfId="0" quotePrefix="1" applyNumberFormat="1" applyFont="1" applyFill="1" applyAlignment="1">
      <alignment vertical="top"/>
    </xf>
    <xf numFmtId="0" fontId="42" fillId="14" borderId="0" xfId="0" applyFont="1" applyFill="1" applyAlignment="1">
      <alignment vertical="top"/>
    </xf>
    <xf numFmtId="0" fontId="43" fillId="14" borderId="0" xfId="0" applyFont="1" applyFill="1" applyAlignment="1">
      <alignment vertical="top"/>
    </xf>
    <xf numFmtId="0" fontId="44" fillId="14" borderId="0" xfId="0" applyFont="1" applyFill="1" applyAlignment="1">
      <alignment vertical="top"/>
    </xf>
    <xf numFmtId="0" fontId="45" fillId="0" borderId="0" xfId="0" applyFont="1" applyAlignment="1">
      <alignment vertical="top"/>
    </xf>
    <xf numFmtId="0" fontId="42" fillId="0" borderId="0" xfId="0" applyFont="1" applyAlignment="1">
      <alignment vertical="top"/>
    </xf>
    <xf numFmtId="0" fontId="18" fillId="0" borderId="2" xfId="0" applyFont="1" applyFill="1" applyBorder="1" applyAlignment="1">
      <alignment vertical="top"/>
    </xf>
    <xf numFmtId="0" fontId="41" fillId="17" borderId="3" xfId="0" applyFont="1" applyFill="1" applyBorder="1" applyAlignment="1">
      <alignment vertical="top"/>
    </xf>
    <xf numFmtId="0" fontId="41" fillId="18" borderId="3" xfId="0" applyFont="1" applyFill="1" applyBorder="1" applyAlignment="1">
      <alignment vertical="top"/>
    </xf>
    <xf numFmtId="0" fontId="0" fillId="0" borderId="0" xfId="0" quotePrefix="1" applyAlignment="1"/>
    <xf numFmtId="0" fontId="40" fillId="0" borderId="1" xfId="1" quotePrefix="1" applyFont="1" applyBorder="1" applyAlignment="1">
      <alignment vertical="top"/>
    </xf>
    <xf numFmtId="0" fontId="4" fillId="16" borderId="1" xfId="0" quotePrefix="1" applyFont="1" applyFill="1" applyBorder="1" applyAlignment="1">
      <alignment vertical="top"/>
    </xf>
    <xf numFmtId="0" fontId="4" fillId="0" borderId="1" xfId="0" quotePrefix="1" applyFont="1" applyBorder="1" applyAlignment="1">
      <alignment vertical="top"/>
    </xf>
    <xf numFmtId="0" fontId="40" fillId="16" borderId="1" xfId="1" quotePrefix="1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16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theme="0" tint="-0.34998626667073579"/>
      </font>
      <fill>
        <patternFill>
          <bgColor theme="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D0E8F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theme="2"/>
        </patternFill>
      </fill>
    </dxf>
    <dxf>
      <font>
        <color rgb="FF0061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AA49F3"/>
      </font>
      <fill>
        <patternFill>
          <bgColor rgb="FFE5D3F3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b/>
        <i val="0"/>
        <color rgb="FF0095CB"/>
      </font>
      <fill>
        <patternFill patternType="solid">
          <bgColor rgb="FFD0E8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theme="0" tint="-0.34998626667073579"/>
      </font>
      <fill>
        <patternFill>
          <bgColor theme="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D0E8F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theme="2"/>
        </patternFill>
      </fill>
    </dxf>
    <dxf>
      <font>
        <color rgb="FF006100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vertAlign val="baseline"/>
        <sz val="9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2" tint="-0.499984740745262"/>
        <name val="Cousine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alignment horizontal="general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sine"/>
        <family val="2"/>
        <scheme val="none"/>
      </font>
      <fill>
        <patternFill patternType="solid">
          <fgColor indexed="64"/>
          <bgColor theme="5" tint="-0.499984740745262"/>
        </patternFill>
      </fill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protection locked="0" hidden="0"/>
    </dxf>
    <dxf>
      <font>
        <b val="0"/>
        <i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b val="0"/>
      </font>
      <protection locked="0" hidden="0"/>
    </dxf>
    <dxf>
      <font>
        <b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</dxfs>
  <tableStyles count="0" defaultTableStyle="TableStyleMedium2" defaultPivotStyle="PivotStyleLight16"/>
  <colors>
    <mruColors>
      <color rgb="FFAA49F3"/>
      <color rgb="FFD0E8F0"/>
      <color rgb="FFE1EDF0"/>
      <color rgb="FF0095CB"/>
      <color rgb="FFE5D3F3"/>
      <color rgb="FFDFC5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2BBA49-03BA-774E-B4F7-D528FB55F6B0}" name="Table2" displayName="Table2" ref="B1:P145" totalsRowShown="0">
  <autoFilter ref="B1:P145" xr:uid="{B18A7198-2465-9C4D-99F0-7F5A9660E5CF}">
    <filterColumn colId="1">
      <filters blank="1">
        <filter val="0"/>
      </filters>
    </filterColumn>
    <filterColumn colId="2">
      <filters blank="1">
        <filter val="noted"/>
        <filter val="todo"/>
        <filter val="todo_extra"/>
      </filters>
    </filterColumn>
  </autoFilter>
  <sortState ref="B2:P145">
    <sortCondition ref="F2:F145"/>
    <sortCondition ref="I2:I145"/>
    <sortCondition ref="G2:G145"/>
    <sortCondition ref="H2:H145"/>
  </sortState>
  <tableColumns count="15">
    <tableColumn id="10" xr3:uid="{72116CB0-79E9-F04C-A3BA-19EE19D2A026}" name="in_noted" dataDxfId="167">
      <calculatedColumnFormula>IF( Table2[[#This Row],[target_lang]] = "noted", 1, 0)</calculatedColumnFormula>
    </tableColumn>
    <tableColumn id="9" xr3:uid="{EFC8146B-07B1-B74D-B283-0026BD0C89C2}" name="in_notedoc" dataDxfId="166">
      <calculatedColumnFormula xml:space="preserve"> IF( Table2[[#This Row],[target_lang]] = "notedoc", 1, 0)</calculatedColumnFormula>
    </tableColumn>
    <tableColumn id="1" xr3:uid="{ED647CC1-8623-4F43-9292-E8F4579E0D8C}" name="origin" dataDxfId="165"/>
    <tableColumn id="11" xr3:uid="{7C12EF02-E225-1849-88A1-BA1A91521A9B}" name="target_lang" dataDxfId="164">
      <calculatedColumnFormula>IF( Table2[[#This Row],[label]] = "", "", IF( Table2[[#This Row],[origin]] = "notedoc",  Table2[[#This Row],[origin]],  "noted"))</calculatedColumnFormula>
    </tableColumn>
    <tableColumn id="2" xr3:uid="{88AD9F98-4A1A-1A45-89A2-B80192F08A09}" name="category" dataDxfId="163"/>
    <tableColumn id="6" xr3:uid="{184D3F9D-3202-1541-8375-BC3937A52E6D}" name="label" dataDxfId="162"/>
    <tableColumn id="3" xr3:uid="{6FDA8A48-D530-1E4D-B0D9-FA5BD91F272D}" name="regexTermInput" dataDxfId="161"/>
    <tableColumn id="4" xr3:uid="{30A98A68-B227-EE45-A218-5FC1E4AC49C2}" name="spirit" dataDxfId="160"/>
    <tableColumn id="5" xr3:uid="{A3D32F68-893A-1E4E-9A1D-953D380E9355}" name="remarks" dataDxfId="159"/>
    <tableColumn id="8" xr3:uid="{57683B6E-2A1E-A749-B885-E075BAE48D72}" name="grammatic_name" dataDxfId="158">
      <calculatedColumnFormula>IF( Table2[[#This Row],[regexTermInput]] ="", "", SUBSTITUTE(  SUBSTITUTE( SUBSTITUTE( atom_grammatic_name_template,"{{category}}", Table2[[#This Row],[category]] ), "{{emotion}}",  Table2[[#This Row],[spirit]] ), "{{lang}}",   Table2[[#This Row],[target_lang]] ))</calculatedColumnFormula>
    </tableColumn>
    <tableColumn id="14" xr3:uid="{34807953-997B-5641-8BDB-78228F323BBA}" name="regexTerm" dataDxfId="157">
      <calculatedColumnFormula>"" &amp;  IF(Table2[[#This Row],[hasUnsafeRegex]] = 0, Table2[[#This Row],[regexTermInput]], "(?:" &amp; Table2[[#This Row],[regexTermInput]] &amp; ")")</calculatedColumnFormula>
    </tableColumn>
    <tableColumn id="13" xr3:uid="{5365D384-62A5-6245-9BF8-5222EDDEC473}" name="hasUnsafeRegex" dataDxfId="156">
      <calculatedColumnFormula>IF( IFERROR( FIND("$", Table2[[#This Row],[unsafeRegexGuess]]), 0) &lt;=0, 0, 1)</calculatedColumnFormula>
    </tableColumn>
    <tableColumn id="16" xr3:uid="{E015C8DD-2E14-F44A-AD82-422A10543AD4}" name="hasAnyRegex" dataDxfId="155">
      <calculatedColumnFormula>IF( IFERROR( FIND("$", Table2[[#This Row],[anyRegexGuess]]), 0) &lt;=0, 0, 1)</calculatedColumnFormula>
    </tableColumn>
    <tableColumn id="15" xr3:uid="{DEC86C84-EC73-7C4E-AB2E-F80DC5A9678E}" name="anyRegexGuess" dataDxfId="154">
      <calculatedColumnFormula>SUBSTITUTE( SUBSTITUTE( SUBSTITUTE(SUBSTITUTE(Table2[[#This Row],[unsafeRegexGuess]], ")", "$"), "*", "$"), "+", "$"), "?", "$")</calculatedColumnFormula>
    </tableColumn>
    <tableColumn id="12" xr3:uid="{B7B48411-9D64-8F45-90BE-F7F85B4F9A20}" name="unsafeRegexGuess" dataDxfId="153">
      <calculatedColumnFormula xml:space="preserve"> SUBSTITUTE( SUBSTITUTE( SUBSTITUTE(Table2[[#This Row],[regexTermInput]], "(", "$"), "|", "$"), "^", "$")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70D88-5B9E-AA41-B150-DDB6D4261BEC}" name="Table1" displayName="Table1" ref="B3:J19" totalsRowShown="0" headerRowDxfId="152" dataDxfId="151">
  <autoFilter ref="B3:J19" xr:uid="{52D710F5-EF82-4D44-AD06-EB7C0A31BAF1}"/>
  <tableColumns count="9">
    <tableColumn id="1" xr3:uid="{A4FA0173-A300-8045-955F-905A11D3CC63}" name="lang" dataDxfId="150"/>
    <tableColumn id="2" xr3:uid="{5EA21845-A3FD-2342-BA68-E6580395CCF2}" name="category" dataDxfId="149"/>
    <tableColumn id="9" xr3:uid="{DECC1F9D-23AB-154F-A453-CE6074EA12EE}" name="rule_name" dataDxfId="148">
      <calculatedColumnFormula>SUBSTITUTE( IF( IFERROR( FIND("doc", Table1[[#This Row],[category]]), 0), "note", Table1[[#This Row],[lang]]  &amp; "." ) &amp; Table1[[#This Row],[category]], ".", "_")</calculatedColumnFormula>
    </tableColumn>
    <tableColumn id="3" xr3:uid="{C7B21ABF-7165-B74A-873C-5F8ACFB557CC}" name="regexTerm" dataDxfId="147">
      <calculatedColumnFormula array="1">_xlfn.TEXTJOIN( "|", TRUE, IF( Table2[category] = Table1[[#This Row],[category]], Table2[regexTerm], "") )</calculatedColumnFormula>
    </tableColumn>
    <tableColumn id="4" xr3:uid="{F1223574-B46E-3448-A520-8B3BC72DF5E8}" name="regex_perl" dataDxfId="146">
      <calculatedColumnFormula>re_atom_pattern_begin &amp; Table1[[#This Row],[regexTerm]] &amp; "(" &amp; Table1[[#This Row],[regexTerm]] &amp; ")" &amp; re_atom_pattern_end</calculatedColumnFormula>
    </tableColumn>
    <tableColumn id="7" xr3:uid="{415E1F71-9FCC-9F4A-A256-A12868EA3778}" name="regex_atom" dataDxfId="145">
      <calculatedColumnFormula>SUBSTITUTE( SUBSTITUTE( Table1[[#This Row],[regex_perl]],  "(?:", "(?&lt;" ), "\", "\\")</calculatedColumnFormula>
    </tableColumn>
    <tableColumn id="8" xr3:uid="{D0D522C8-9438-564A-9204-16FABF37457C}" name="Column1" dataDxfId="144"/>
    <tableColumn id="5" xr3:uid="{AE1EA372-D0F4-744A-8EB4-EC15904DE790}" name="filan" dataDxfId="143"/>
    <tableColumn id="6" xr3:uid="{6157BAEA-736F-CA46-B1BD-D0B768050338}" name="falan" dataDxfId="1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AECEF6-8D6F-9448-9D36-E356FBBA6252}" name="Table4" displayName="Table4" ref="B5:AO65" totalsRowCount="1" headerRowDxfId="141" dataDxfId="140">
  <autoFilter ref="B5:AO64" xr:uid="{9293A5C3-ED1E-4D49-A44D-CE7C67428FA6}"/>
  <sortState ref="B51:AO64">
    <sortCondition ref="K6:K64"/>
  </sortState>
  <tableColumns count="40">
    <tableColumn id="1" xr3:uid="{FBCD6555-59E4-BB49-A144-0680C332652E}" name="Context" dataDxfId="132" totalsRowDxfId="75"/>
    <tableColumn id="21" xr3:uid="{B3DF0EB4-3BB9-C74E-8231-50A847397281}" name="rule" dataDxfId="131" totalsRowDxfId="74">
      <calculatedColumnFormula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calculatedColumnFormula>
    </tableColumn>
    <tableColumn id="34" xr3:uid="{1E0A0E32-2E67-854A-8BBD-4173230782FD}" name="rule_inclusion" dataDxfId="101" totalsRowDxfId="73">
      <calculatedColumnFormula>IFx( Table4[[#This Row],[rule_name]], _xlfn.TEXTJOIN(" ",, "{", "include:", "'#" &amp; Table4[[#This Row],[rule_name]] &amp; "'", "}"))</calculatedColumnFormula>
    </tableColumn>
    <tableColumn id="24" xr3:uid="{84484A72-965D-6C4D-A38D-25EF7859A680}" name="rule_body" dataDxfId="97" totalsRowDxfId="72">
      <calculatedColumnFormula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calculatedColumnFormula>
    </tableColumn>
    <tableColumn id="36" xr3:uid="{2BEB6DC0-156C-8F41-BF13-15530EFB7B91}" name="meta_subscope" dataDxfId="100" totalsRowDxfId="71">
      <calculatedColumnFormula>IF(Table4[[#This Row],[spirit]]="", "", re_surround(1,, "'", "'", SUBSTITUTE(meta_subscope_mask, spirit_placeholder, Table4[[#This Row],[spirit]])))</calculatedColumnFormula>
    </tableColumn>
    <tableColumn id="26" xr3:uid="{BFA2307B-0902-B540-B2F6-D76321461811}" name="markup_subscope" dataDxfId="103" totalsRowDxfId="70">
      <calculatedColumnFormula>IF(Table4[[#This Row],[spirit]]="", "", re_surround(1,, "'", "'", SUBSTITUTE(markup_subscope_mask, spirit_placeholder, Table4[[#This Row],[spirit]])))</calculatedColumnFormula>
    </tableColumn>
    <tableColumn id="29" xr3:uid="{D31AFBE7-E34A-CF4F-9C69-EFF12E762178}" name="dynamic_subscope" dataDxfId="102" totalsRowDxfId="69">
      <calculatedColumnFormula>IF(Table4[[#This Row],[spirit]]="", "",  re_surround(1,, "'", "'",SUBSTITUTE(dynamic_subscope_mask, spirit_placeholder, Table4[[#This Row],[spirit]])))</calculatedColumnFormula>
    </tableColumn>
    <tableColumn id="32" xr3:uid="{06A8D98A-13BB-5345-BA57-5C806139EE30}" name="rule_name" dataDxfId="130" totalsRowDxfId="68">
      <calculatedColumnFormula>SUBSTITUTE(SUBSTITUTE(IF(Table4[[#This Row],[spirit]]="", "", Table4[[#This Row],[rule_name_pfx]] &amp; IF(Table4[[#This Row],[spirit]]="undef", "", Table4[[#This Row],[spirit]])), ".", "_"), "-", "_")</calculatedColumnFormula>
    </tableColumn>
    <tableColumn id="31" xr3:uid="{F5AC6D55-8CAF-D74A-8D8B-73F2E4B0A9EB}" name="rule_name_pfx" dataDxfId="129" totalsRowDxfId="67"/>
    <tableColumn id="33" xr3:uid="{9786ACA2-83F5-AB4B-832F-416AC46DD5F5}" name="sortOrder" dataDxfId="128" totalsRowDxfId="66"/>
    <tableColumn id="25" xr3:uid="{9186A841-3E4F-F742-8664-DAC790FF51DF}" name="spirit" dataDxfId="127" totalsRowDxfId="65"/>
    <tableColumn id="2" xr3:uid="{DBBFD2FC-7F12-094C-816E-874EBEF51CC0}" name="Name" dataDxfId="126" totalsRowDxfId="64"/>
    <tableColumn id="3" xr3:uid="{6027D748-EA9B-8D42-BA28-C35D11AC0D8A}" name="Value" dataDxfId="125" totalsRowDxfId="63"/>
    <tableColumn id="11" xr3:uid="{726B852C-BEB5-D24D-B89F-9526FBFC9389}" name="use" dataDxfId="124" totalsRowDxfId="62"/>
    <tableColumn id="19" xr3:uid="{A51C2672-DB49-4E4E-86F0-039E62EE55AD}" name="custom" dataDxfId="123" totalsRowDxfId="61"/>
    <tableColumn id="40" xr3:uid="{1703AA62-52EB-EA4F-AFBD-C7AF41D2EF16}" name="alternate" dataDxfId="96" totalsRowDxfId="60"/>
    <tableColumn id="22" xr3:uid="{491A2B05-E393-114E-B614-BE0D2D1C5B07}" name="noCalc" dataDxfId="93" totalsRowDxfId="59">
      <calculatedColumnFormula>OR( Table4[[#This Row],[use]] = "", Table4[[#This Row],[use]] = "custom", Table4[[#This Row],[use]] = "alternate" )</calculatedColumnFormula>
    </tableColumn>
    <tableColumn id="7" xr3:uid="{291B761C-2BAB-F04B-A3D3-6A3211685500}" name="re_atomized" dataDxfId="122" totalsRowDxfId="58">
      <calculatedColumnFormula>re_surround(1,,"'", "'",  Table4[[#This Row],[re_escaped]])</calculatedColumnFormula>
    </tableColumn>
    <tableColumn id="6" xr3:uid="{4AB667CB-CECE-1B45-BF97-0E9B15CA4BE9}" name="re_escaped" dataDxfId="121" totalsRowDxfId="57">
      <calculatedColumnFormula>SUBSTITUTE(Table4[[#This Row],[regex]], "\", "\\")</calculatedColumnFormula>
    </tableColumn>
    <tableColumn id="30" xr3:uid="{D472EA28-E6BF-4748-B2EC-7F5451696747}" name="Summary" dataDxfId="120" totalsRowDxfId="56">
      <calculatedColumnFormula>"|"</calculatedColumnFormula>
    </tableColumn>
    <tableColumn id="18" xr3:uid="{78C10566-8E45-8744-BE85-2C5B66FF18C7}" name="regex" dataDxfId="104" totalsRowDxfId="55">
      <calculatedColumnFormula>IFx(Table4[[#This Row],[noCalc]],"", IFx(Table4[[#This Row],[reSpan]], re_group( V$4, , Table4[[#This Row],[before]] &amp; Table4[[#This Row],[reSpan]] &amp; Table4[[#This Row],[after]])))</calculatedColumnFormula>
    </tableColumn>
    <tableColumn id="15" xr3:uid="{C0A37A1C-94CD-A94D-B686-E0D6F6CFD236}" name="before" dataDxfId="119" totalsRowDxfId="54">
      <calculatedColumnFormula>IF(Table4[[#This Row],[noCalc]], "", re_group( T$4, , re_tag_before ))</calculatedColumnFormula>
    </tableColumn>
    <tableColumn id="20" xr3:uid="{D14BC7AC-EA0C-934B-B0D3-64A64A20CEA5}" name="reSpan" dataDxfId="94" totalsRowDxfId="53">
      <calculatedColumnFormula>IFx( Table4[[#This Row],[noCalc]], "", IFx(  Table4[[#This Row],[reHashRef]], re_group(X$4,, Table4[[#This Row],[begin]] &amp; Table4[[#This Row],[reHashRef]] &amp; Table4[[#This Row],[end]])))</calculatedColumnFormula>
    </tableColumn>
    <tableColumn id="10" xr3:uid="{E30D51CA-49D4-704C-96B3-BC6864868CBF}" name="begin" dataDxfId="118" totalsRowDxfId="52">
      <calculatedColumnFormula>re_group(Y$4,, Table4[[#This Row],[rePrelude]])</calculatedColumnFormula>
    </tableColumn>
    <tableColumn id="4" xr3:uid="{2EF51D26-1670-DB4E-91F0-3AFFAEE5A92B}" name="rePrelude" dataDxfId="105" totalsRowDxfId="51">
      <calculatedColumnFormula>IFx(Table4[[#This Row],[noCalc]], "", IFx(Table4[[#This Row],[reSpiritSymbolChars]], re_group(  Z$4,,  Table4[[#This Row],[reSpiritDesignator]] &amp; Table4[[#This Row],[reLevel]])))</calculatedColumnFormula>
    </tableColumn>
    <tableColumn id="23" xr3:uid="{1E26C05A-C006-A542-82BA-F2BF3A465224}" name="reSpiritDesignator" dataDxfId="98" totalsRowDxfId="50">
      <calculatedColumnFormula>IFx( Table4[[#This Row],[noCalc]], "", IFx(Table4[[#This Row],[reSpiritSymbolChars]], re_group(  AA$4,,  Table4[[#This Row],[reSpiritSymbol]]  &amp; Table4[[#This Row],[reSpiritSymbolQ]] ) ))</calculatedColumnFormula>
    </tableColumn>
    <tableColumn id="13" xr3:uid="{080D58AA-D3A4-224E-B11B-CE60A14D7A14}" name="reSpiritSymbolQ" dataDxfId="117" totalsRowDxfId="49"/>
    <tableColumn id="38" xr3:uid="{2BC1D62D-2415-DF45-8F95-7FEC459B926C}" name="reSpiritSymbol" dataDxfId="99" totalsRowDxfId="48">
      <calculatedColumnFormula>IFx( Table4[[#This Row],[noCalc]], "", IFx(Table4[[#This Row],[reSpiritSymbolChars]], re_group(  AC$4,, re_bracket(1,,  Table4[[#This Row],[reSpiritSymbolChars]]) )))</calculatedColumnFormula>
    </tableColumn>
    <tableColumn id="5" xr3:uid="{E21B91B3-52E8-804C-BAC4-DEE6B8A99453}" name="reSpiritSymbolChars" dataDxfId="116" totalsRowDxfId="47"/>
    <tableColumn id="35" xr3:uid="{6F2D33FB-FDE6-954A-9C1B-D1432811E6A7}" name="reLevel" dataDxfId="115" totalsRowDxfId="46">
      <calculatedColumnFormula>IF(Table4[[#This Row],[noCalc]], "",  IFx(Table4[[#This Row],[reLevelChars]],  re_group(  AE$4,,  re_group_no_capture( 1,, re_bracket(1,, Table4[[#This Row],[reLevelChars]])) &amp; "?")))</calculatedColumnFormula>
    </tableColumn>
    <tableColumn id="39" xr3:uid="{DF9F612C-8B51-E540-9625-F8501BF051BF}" name="reLevelCharsQ" dataDxfId="114" totalsRowDxfId="45"/>
    <tableColumn id="37" xr3:uid="{461C0BBC-0868-D746-B3A4-EED65E890350}" name="reLevelChars" dataDxfId="113" totalsRowDxfId="44"/>
    <tableColumn id="12" xr3:uid="{FC7455B5-E839-E64E-B578-DEB610CD8824}" name="reHashRef" dataDxfId="95" totalsRowDxfId="43">
      <calculatedColumnFormula>IFx(Table4[[#This Row],[noCalc]], "", IFx( Table4[[#This Row],[reRefType]], re_group( AH$4,,Table4[[#This Row],[reRefType]] &amp; Table4[[#This Row],[reLabel]])))</calculatedColumnFormula>
    </tableColumn>
    <tableColumn id="14" xr3:uid="{21B2674F-4975-2245-B48C-02403122C55A}" name="reRefType" dataDxfId="112" totalsRowDxfId="42">
      <calculatedColumnFormula xml:space="preserve"> re_group( AI$4,,  Table4[[#This Row],[reHashSymbol]] &amp; Table4[[#This Row],[ReHashSymbolQ]] )</calculatedColumnFormula>
    </tableColumn>
    <tableColumn id="28" xr3:uid="{52F28027-5216-634C-BC14-0B620F1447B8}" name="ReHashSymbolQ" dataDxfId="111" totalsRowDxfId="41" dataCellStyle="Hyperlink"/>
    <tableColumn id="27" xr3:uid="{FDD5D925-DE5E-AD40-9645-CB0E4FC3D226}" name="reHashSymbol" dataDxfId="110" totalsRowDxfId="40">
      <calculatedColumnFormula>re_group( AK$4,, re_bracket(1,, Table4[[#This Row],[reHashChars]]))</calculatedColumnFormula>
    </tableColumn>
    <tableColumn id="17" xr3:uid="{FE69B5A0-B816-9849-AE81-94C1422CFCF7}" name="reHashChars" dataDxfId="109" totalsRowDxfId="39"/>
    <tableColumn id="8" xr3:uid="{97E42C0C-2965-9D41-BE5E-82E9BE05FA4B}" name="reLabel" dataDxfId="108" totalsRowDxfId="38">
      <calculatedColumnFormula>IFx(Table4[[#This Row],[noCalc]], "", re_group( AM$4,, re_tag_label_simple))</calculatedColumnFormula>
    </tableColumn>
    <tableColumn id="16" xr3:uid="{C79F1C53-9461-B44D-8F29-0A65CCD0BEFF}" name="end" dataDxfId="107" totalsRowDxfId="37">
      <calculatedColumnFormula>IFx(Table4[[#This Row],[noCalc]], "", re_group( AN$4,, re_tag_tail))</calculatedColumnFormula>
    </tableColumn>
    <tableColumn id="9" xr3:uid="{FAD6D861-1816-3941-A684-5FCD281217D2}" name="after" dataDxfId="106" totalsRowDxfId="36">
      <calculatedColumnFormula>IFx(Table4[[#This Row],[noCalc]], "", re_group( AL$4,, re_tag_after))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878747-9EAD-5B4B-A06B-0F225E432CF9}" name="Table3" displayName="Table3" ref="B13:F19" totalsRowShown="0" headerRowDxfId="139" dataDxfId="138">
  <autoFilter ref="B13:F19" xr:uid="{286C4F23-2C08-4B42-A988-029EE54DC873}"/>
  <tableColumns count="5">
    <tableColumn id="1" xr3:uid="{6791C1AA-3142-F942-A1F8-20488DC371F8}" name="Context" dataDxfId="137"/>
    <tableColumn id="2" xr3:uid="{2E393FA6-92FA-A049-A2C1-14D52B77676D}" name="Name" dataDxfId="136"/>
    <tableColumn id="3" xr3:uid="{207644D8-E25D-B541-988D-AF2002D1BA83}" name="Value" dataDxfId="135"/>
    <tableColumn id="4" xr3:uid="{33CC091B-CCD3-C448-B6A5-519923FCD91E}" name="form" dataDxfId="134"/>
    <tableColumn id="5" xr3:uid="{E541BED3-2545-D44B-94E2-2530FAA3FA6F}" name="remarks" dataDxfId="13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file:///-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#@" TargetMode="External"/><Relationship Id="rId1" Type="http://schemas.openxmlformats.org/officeDocument/2006/relationships/hyperlink" Target="mailto:#@" TargetMode="External"/><Relationship Id="rId6" Type="http://schemas.openxmlformats.org/officeDocument/2006/relationships/table" Target="../tables/table3.xml"/><Relationship Id="rId5" Type="http://schemas.openxmlformats.org/officeDocument/2006/relationships/vmlDrawing" Target="../drawings/vmlDrawing1.vml"/><Relationship Id="rId4" Type="http://schemas.openxmlformats.org/officeDocument/2006/relationships/hyperlink" Target="file:///-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-" TargetMode="External"/><Relationship Id="rId2" Type="http://schemas.openxmlformats.org/officeDocument/2006/relationships/hyperlink" Target="file:///-" TargetMode="External"/><Relationship Id="rId1" Type="http://schemas.openxmlformats.org/officeDocument/2006/relationships/hyperlink" Target="mailto:#@" TargetMode="External"/><Relationship Id="rId5" Type="http://schemas.openxmlformats.org/officeDocument/2006/relationships/table" Target="../tables/table4.xml"/><Relationship Id="rId4" Type="http://schemas.openxmlformats.org/officeDocument/2006/relationships/hyperlink" Target="mailto:#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A22E-82B6-214A-8334-0BD3E3D29708}">
  <sheetPr codeName="Sheet1"/>
  <dimension ref="B1:X145"/>
  <sheetViews>
    <sheetView topLeftCell="B82" zoomScale="120" zoomScaleNormal="120" workbookViewId="0">
      <selection activeCell="I118" sqref="I118"/>
    </sheetView>
  </sheetViews>
  <sheetFormatPr baseColWidth="10" defaultRowHeight="17" outlineLevelRow="2"/>
  <cols>
    <col min="2" max="2" width="4" customWidth="1"/>
    <col min="3" max="3" width="3.42578125" customWidth="1"/>
    <col min="6" max="6" width="7.7109375" customWidth="1"/>
    <col min="7" max="7" width="17.5703125" customWidth="1"/>
    <col min="8" max="8" width="16.85546875" style="7" customWidth="1"/>
    <col min="9" max="9" width="14.7109375" style="17" customWidth="1"/>
    <col min="10" max="10" width="31.140625" customWidth="1"/>
    <col min="11" max="11" width="37.42578125" style="32" customWidth="1"/>
    <col min="12" max="12" width="7.42578125" customWidth="1"/>
    <col min="13" max="13" width="7.5703125" style="18" customWidth="1"/>
    <col min="14" max="14" width="17.140625" style="19" customWidth="1"/>
    <col min="15" max="15" width="21.85546875" style="21" customWidth="1"/>
    <col min="16" max="16" width="18.85546875" style="18" customWidth="1"/>
    <col min="17" max="17" width="26.5703125" style="23" customWidth="1"/>
    <col min="18" max="18" width="9.140625" style="10" customWidth="1"/>
    <col min="19" max="20" width="9.140625" style="12" customWidth="1"/>
    <col min="21" max="21" width="9.140625" style="14" customWidth="1"/>
    <col min="22" max="22" width="9.140625" style="15" customWidth="1"/>
    <col min="23" max="23" width="9.140625" customWidth="1"/>
    <col min="24" max="24" width="9.140625" style="10" customWidth="1"/>
    <col min="25" max="28" width="9.140625" customWidth="1"/>
  </cols>
  <sheetData>
    <row r="1" spans="2:24">
      <c r="B1" s="7" t="s">
        <v>169</v>
      </c>
      <c r="C1" s="7" t="s">
        <v>168</v>
      </c>
      <c r="D1" s="10" t="s">
        <v>47</v>
      </c>
      <c r="E1" s="10" t="s">
        <v>229</v>
      </c>
      <c r="F1" s="18" t="s">
        <v>42</v>
      </c>
      <c r="G1" s="19" t="s">
        <v>83</v>
      </c>
      <c r="H1" s="20" t="s">
        <v>174</v>
      </c>
      <c r="I1" s="18" t="s">
        <v>290</v>
      </c>
      <c r="J1" s="21" t="s">
        <v>69</v>
      </c>
      <c r="K1" s="31" t="s">
        <v>228</v>
      </c>
      <c r="L1" s="9" t="s">
        <v>173</v>
      </c>
      <c r="M1" s="11" t="s">
        <v>172</v>
      </c>
      <c r="N1" s="11" t="s">
        <v>177</v>
      </c>
      <c r="O1" s="13" t="s">
        <v>175</v>
      </c>
      <c r="P1" s="13" t="s">
        <v>176</v>
      </c>
      <c r="Q1"/>
      <c r="R1"/>
      <c r="S1"/>
      <c r="T1"/>
      <c r="U1"/>
      <c r="V1"/>
      <c r="X1"/>
    </row>
    <row r="2" spans="2:24" hidden="1" outlineLevel="1">
      <c r="B2" s="7">
        <f>IF( Table2[[#This Row],[target_lang]] = "noted", 1, 0)</f>
        <v>0</v>
      </c>
      <c r="C2" s="7">
        <f xml:space="preserve"> IF( Table2[[#This Row],[target_lang]] = "notedoc", 1, 0)</f>
        <v>0</v>
      </c>
      <c r="D2" s="10" t="s">
        <v>167</v>
      </c>
      <c r="E2" s="33" t="str">
        <f>IF( Table2[[#This Row],[label]] = "", "", IF( Table2[[#This Row],[origin]] = "notedoc",  Table2[[#This Row],[origin]],  "noted"))</f>
        <v/>
      </c>
      <c r="F2" s="18" t="s">
        <v>91</v>
      </c>
      <c r="G2" s="19" t="str">
        <f>""</f>
        <v/>
      </c>
      <c r="H2" s="20" t="str">
        <f>""</f>
        <v/>
      </c>
      <c r="I2" s="18" t="str">
        <f>""</f>
        <v/>
      </c>
      <c r="J2" s="21" t="str">
        <f>""</f>
        <v/>
      </c>
      <c r="K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2" s="9" t="str">
        <f>"" &amp;  IF(Table2[[#This Row],[hasUnsafeRegex]] = 0, Table2[[#This Row],[regexTermInput]], "(?:" &amp; Table2[[#This Row],[regexTermInput]] &amp; ")")</f>
        <v/>
      </c>
      <c r="M2" s="11">
        <f>IF( IFERROR( FIND("$", Table2[[#This Row],[unsafeRegexGuess]]), 0) &lt;=0, 0, 1)</f>
        <v>0</v>
      </c>
      <c r="N2" s="11">
        <f>IF( IFERROR( FIND("$", Table2[[#This Row],[anyRegexGuess]]), 0) &lt;=0, 0, 1)</f>
        <v>0</v>
      </c>
      <c r="O2" s="13" t="str">
        <f>SUBSTITUTE( SUBSTITUTE( SUBSTITUTE(SUBSTITUTE(Table2[[#This Row],[unsafeRegexGuess]], ")", "$"), "*", "$"), "+", "$"), "?", "$")</f>
        <v/>
      </c>
      <c r="P2" s="13" t="str">
        <f xml:space="preserve"> SUBSTITUTE( SUBSTITUTE( SUBSTITUTE(Table2[[#This Row],[regexTermInput]], "(", "$"), "|", "$"), "^", "$")</f>
        <v/>
      </c>
      <c r="Q2"/>
      <c r="R2"/>
      <c r="S2"/>
      <c r="T2"/>
      <c r="U2"/>
      <c r="V2"/>
      <c r="X2"/>
    </row>
    <row r="3" spans="2:24" hidden="1" outlineLevel="1">
      <c r="B3" s="7">
        <f>IF( Table2[[#This Row],[target_lang]] = "noted", 1, 0)</f>
        <v>0</v>
      </c>
      <c r="C3" s="7">
        <f xml:space="preserve"> IF( Table2[[#This Row],[target_lang]] = "notedoc", 1, 0)</f>
        <v>1</v>
      </c>
      <c r="D3" s="10" t="s">
        <v>167</v>
      </c>
      <c r="E3" s="10" t="str">
        <f>IF( Table2[[#This Row],[label]] = "", "", IF( Table2[[#This Row],[origin]] = "notedoc",  Table2[[#This Row],[origin]],  "noted"))</f>
        <v>notedoc</v>
      </c>
      <c r="F3" s="18" t="s">
        <v>91</v>
      </c>
      <c r="G3" s="19" t="s">
        <v>132</v>
      </c>
      <c r="H3" s="20" t="s">
        <v>94</v>
      </c>
      <c r="I3" s="18" t="s">
        <v>226</v>
      </c>
      <c r="J3" s="21"/>
      <c r="K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3" s="9" t="str">
        <f>"" &amp;  IF(Table2[[#This Row],[hasUnsafeRegex]] = 0, Table2[[#This Row],[regexTermInput]], "(?:" &amp; Table2[[#This Row],[regexTermInput]] &amp; ")")</f>
        <v>CONSUMES?</v>
      </c>
      <c r="M3" s="11">
        <f>IF( IFERROR( FIND("$", Table2[[#This Row],[unsafeRegexGuess]]), 0) &lt;=0, 0, 1)</f>
        <v>0</v>
      </c>
      <c r="N3" s="11">
        <f>IF( IFERROR( FIND("$", Table2[[#This Row],[anyRegexGuess]]), 0) &lt;=0, 0, 1)</f>
        <v>1</v>
      </c>
      <c r="O3" s="13" t="str">
        <f>SUBSTITUTE( SUBSTITUTE( SUBSTITUTE(SUBSTITUTE(Table2[[#This Row],[unsafeRegexGuess]], ")", "$"), "*", "$"), "+", "$"), "?", "$")</f>
        <v>CONSUMES$</v>
      </c>
      <c r="P3" s="13" t="str">
        <f xml:space="preserve"> SUBSTITUTE( SUBSTITUTE( SUBSTITUTE(Table2[[#This Row],[regexTermInput]], "(", "$"), "|", "$"), "^", "$")</f>
        <v>CONSUMES?</v>
      </c>
      <c r="Q3"/>
      <c r="R3"/>
      <c r="S3"/>
      <c r="T3"/>
      <c r="U3"/>
      <c r="V3"/>
      <c r="X3"/>
    </row>
    <row r="4" spans="2:24" hidden="1" outlineLevel="1">
      <c r="B4" s="7">
        <f>IF( Table2[[#This Row],[target_lang]] = "noted", 1, 0)</f>
        <v>0</v>
      </c>
      <c r="C4" s="7">
        <f xml:space="preserve"> IF( Table2[[#This Row],[target_lang]] = "notedoc", 1, 0)</f>
        <v>1</v>
      </c>
      <c r="D4" s="10" t="s">
        <v>167</v>
      </c>
      <c r="E4" s="10" t="str">
        <f>IF( Table2[[#This Row],[label]] = "", "", IF( Table2[[#This Row],[origin]] = "notedoc",  Table2[[#This Row],[origin]],  "noted"))</f>
        <v>notedoc</v>
      </c>
      <c r="F4" s="18" t="s">
        <v>91</v>
      </c>
      <c r="G4" s="19" t="s">
        <v>133</v>
      </c>
      <c r="H4" s="20" t="s">
        <v>96</v>
      </c>
      <c r="I4" s="18" t="s">
        <v>226</v>
      </c>
      <c r="J4" s="21"/>
      <c r="K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4" s="9" t="str">
        <f>"" &amp;  IF(Table2[[#This Row],[hasUnsafeRegex]] = 0, Table2[[#This Row],[regexTermInput]], "(?:" &amp; Table2[[#This Row],[regexTermInput]] &amp; ")")</f>
        <v>DELEGATES?</v>
      </c>
      <c r="M4" s="11">
        <f>IF( IFERROR( FIND("$", Table2[[#This Row],[unsafeRegexGuess]]), 0) &lt;=0, 0, 1)</f>
        <v>0</v>
      </c>
      <c r="N4" s="11">
        <f>IF( IFERROR( FIND("$", Table2[[#This Row],[anyRegexGuess]]), 0) &lt;=0, 0, 1)</f>
        <v>1</v>
      </c>
      <c r="O4" s="13" t="str">
        <f>SUBSTITUTE( SUBSTITUTE( SUBSTITUTE(SUBSTITUTE(Table2[[#This Row],[unsafeRegexGuess]], ")", "$"), "*", "$"), "+", "$"), "?", "$")</f>
        <v>DELEGATES$</v>
      </c>
      <c r="P4" s="13" t="str">
        <f xml:space="preserve"> SUBSTITUTE( SUBSTITUTE( SUBSTITUTE(Table2[[#This Row],[regexTermInput]], "(", "$"), "|", "$"), "^", "$")</f>
        <v>DELEGATES?</v>
      </c>
      <c r="Q4"/>
      <c r="R4"/>
      <c r="S4"/>
      <c r="T4"/>
      <c r="U4"/>
      <c r="V4"/>
      <c r="X4"/>
    </row>
    <row r="5" spans="2:24" hidden="1" outlineLevel="1">
      <c r="B5" s="7">
        <f>IF( Table2[[#This Row],[target_lang]] = "noted", 1, 0)</f>
        <v>0</v>
      </c>
      <c r="C5" s="7">
        <f xml:space="preserve"> IF( Table2[[#This Row],[target_lang]] = "notedoc", 1, 0)</f>
        <v>1</v>
      </c>
      <c r="D5" s="10" t="s">
        <v>167</v>
      </c>
      <c r="E5" s="10" t="str">
        <f>IF( Table2[[#This Row],[label]] = "", "", IF( Table2[[#This Row],[origin]] = "notedoc",  Table2[[#This Row],[origin]],  "noted"))</f>
        <v>notedoc</v>
      </c>
      <c r="F5" s="18" t="s">
        <v>91</v>
      </c>
      <c r="G5" s="19" t="s">
        <v>134</v>
      </c>
      <c r="H5" s="20" t="s">
        <v>107</v>
      </c>
      <c r="I5" s="18" t="s">
        <v>226</v>
      </c>
      <c r="J5" s="21"/>
      <c r="K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5" s="9" t="str">
        <f>"" &amp;  IF(Table2[[#This Row],[hasUnsafeRegex]] = 0, Table2[[#This Row],[regexTermInput]], "(?:" &amp; Table2[[#This Row],[regexTermInput]] &amp; ")")</f>
        <v>(?:DEPENDS?(?: ON)?)</v>
      </c>
      <c r="M5" s="11">
        <f>IF( IFERROR( FIND("$", Table2[[#This Row],[unsafeRegexGuess]]), 0) &lt;=0, 0, 1)</f>
        <v>1</v>
      </c>
      <c r="N5" s="11">
        <f>IF( IFERROR( FIND("$", Table2[[#This Row],[anyRegexGuess]]), 0) &lt;=0, 0, 1)</f>
        <v>1</v>
      </c>
      <c r="O5" s="13" t="str">
        <f>SUBSTITUTE( SUBSTITUTE( SUBSTITUTE(SUBSTITUTE(Table2[[#This Row],[unsafeRegexGuess]], ")", "$"), "*", "$"), "+", "$"), "?", "$")</f>
        <v>DEPENDS$$$: ON$$</v>
      </c>
      <c r="P5" s="13" t="str">
        <f xml:space="preserve"> SUBSTITUTE( SUBSTITUTE( SUBSTITUTE(Table2[[#This Row],[regexTermInput]], "(", "$"), "|", "$"), "^", "$")</f>
        <v>DEPENDS?$?: ON)?</v>
      </c>
      <c r="Q5"/>
      <c r="R5"/>
      <c r="S5"/>
      <c r="T5"/>
      <c r="U5"/>
      <c r="V5"/>
      <c r="X5"/>
    </row>
    <row r="6" spans="2:24" hidden="1" outlineLevel="1">
      <c r="B6" s="7">
        <f>IF( Table2[[#This Row],[target_lang]] = "noted", 1, 0)</f>
        <v>0</v>
      </c>
      <c r="C6" s="7">
        <f xml:space="preserve"> IF( Table2[[#This Row],[target_lang]] = "notedoc", 1, 0)</f>
        <v>1</v>
      </c>
      <c r="D6" s="10" t="s">
        <v>167</v>
      </c>
      <c r="E6" s="10" t="str">
        <f>IF( Table2[[#This Row],[label]] = "", "", IF( Table2[[#This Row],[origin]] = "notedoc",  Table2[[#This Row],[origin]],  "noted"))</f>
        <v>notedoc</v>
      </c>
      <c r="F6" s="18" t="s">
        <v>91</v>
      </c>
      <c r="G6" s="19" t="s">
        <v>135</v>
      </c>
      <c r="H6" s="20" t="s">
        <v>93</v>
      </c>
      <c r="I6" s="18" t="s">
        <v>226</v>
      </c>
      <c r="J6" s="21"/>
      <c r="K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6" s="9" t="str">
        <f>"" &amp;  IF(Table2[[#This Row],[hasUnsafeRegex]] = 0, Table2[[#This Row],[regexTermInput]], "(?:" &amp; Table2[[#This Row],[regexTermInput]] &amp; ")")</f>
        <v>EXTENDS?</v>
      </c>
      <c r="M6" s="11">
        <f>IF( IFERROR( FIND("$", Table2[[#This Row],[unsafeRegexGuess]]), 0) &lt;=0, 0, 1)</f>
        <v>0</v>
      </c>
      <c r="N6" s="11">
        <f>IF( IFERROR( FIND("$", Table2[[#This Row],[anyRegexGuess]]), 0) &lt;=0, 0, 1)</f>
        <v>1</v>
      </c>
      <c r="O6" s="13" t="str">
        <f>SUBSTITUTE( SUBSTITUTE( SUBSTITUTE(SUBSTITUTE(Table2[[#This Row],[unsafeRegexGuess]], ")", "$"), "*", "$"), "+", "$"), "?", "$")</f>
        <v>EXTENDS$</v>
      </c>
      <c r="P6" s="13" t="str">
        <f xml:space="preserve"> SUBSTITUTE( SUBSTITUTE( SUBSTITUTE(Table2[[#This Row],[regexTermInput]], "(", "$"), "|", "$"), "^", "$")</f>
        <v>EXTENDS?</v>
      </c>
      <c r="Q6"/>
      <c r="R6"/>
      <c r="S6"/>
      <c r="T6"/>
      <c r="U6"/>
      <c r="V6"/>
      <c r="X6"/>
    </row>
    <row r="7" spans="2:24" hidden="1" outlineLevel="1">
      <c r="B7" s="7">
        <f>IF( Table2[[#This Row],[target_lang]] = "noted", 1, 0)</f>
        <v>0</v>
      </c>
      <c r="C7" s="7">
        <f xml:space="preserve"> IF( Table2[[#This Row],[target_lang]] = "notedoc", 1, 0)</f>
        <v>1</v>
      </c>
      <c r="D7" s="10" t="s">
        <v>167</v>
      </c>
      <c r="E7" s="10" t="str">
        <f>IF( Table2[[#This Row],[label]] = "", "", IF( Table2[[#This Row],[origin]] = "notedoc",  Table2[[#This Row],[origin]],  "noted"))</f>
        <v>notedoc</v>
      </c>
      <c r="F7" s="18" t="s">
        <v>91</v>
      </c>
      <c r="G7" s="19" t="s">
        <v>136</v>
      </c>
      <c r="H7" s="20" t="s">
        <v>92</v>
      </c>
      <c r="I7" s="18" t="s">
        <v>226</v>
      </c>
      <c r="J7" s="21"/>
      <c r="K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7" s="9" t="str">
        <f>"" &amp;  IF(Table2[[#This Row],[hasUnsafeRegex]] = 0, Table2[[#This Row],[regexTermInput]], "(?:" &amp; Table2[[#This Row],[regexTermInput]] &amp; ")")</f>
        <v>(?:INHERITS(?: FROM)?)</v>
      </c>
      <c r="M7" s="11">
        <f>IF( IFERROR( FIND("$", Table2[[#This Row],[unsafeRegexGuess]]), 0) &lt;=0, 0, 1)</f>
        <v>1</v>
      </c>
      <c r="N7" s="11">
        <f>IF( IFERROR( FIND("$", Table2[[#This Row],[anyRegexGuess]]), 0) &lt;=0, 0, 1)</f>
        <v>1</v>
      </c>
      <c r="O7" s="13" t="str">
        <f>SUBSTITUTE( SUBSTITUTE( SUBSTITUTE(SUBSTITUTE(Table2[[#This Row],[unsafeRegexGuess]], ")", "$"), "*", "$"), "+", "$"), "?", "$")</f>
        <v>INHERITS$$: FROM$$</v>
      </c>
      <c r="P7" s="13" t="str">
        <f xml:space="preserve"> SUBSTITUTE( SUBSTITUTE( SUBSTITUTE(Table2[[#This Row],[regexTermInput]], "(", "$"), "|", "$"), "^", "$")</f>
        <v>INHERITS$?: FROM)?</v>
      </c>
      <c r="Q7"/>
      <c r="R7"/>
      <c r="S7"/>
      <c r="T7"/>
      <c r="U7"/>
      <c r="V7"/>
      <c r="X7"/>
    </row>
    <row r="8" spans="2:24" hidden="1" outlineLevel="1">
      <c r="B8" s="7">
        <f>IF( Table2[[#This Row],[target_lang]] = "noted", 1, 0)</f>
        <v>0</v>
      </c>
      <c r="C8" s="7">
        <f xml:space="preserve"> IF( Table2[[#This Row],[target_lang]] = "notedoc", 1, 0)</f>
        <v>1</v>
      </c>
      <c r="D8" s="10" t="s">
        <v>167</v>
      </c>
      <c r="E8" s="10" t="str">
        <f>IF( Table2[[#This Row],[label]] = "", "", IF( Table2[[#This Row],[origin]] = "notedoc",  Table2[[#This Row],[origin]],  "noted"))</f>
        <v>notedoc</v>
      </c>
      <c r="F8" s="18" t="s">
        <v>91</v>
      </c>
      <c r="G8" s="19" t="s">
        <v>137</v>
      </c>
      <c r="H8" s="20" t="s">
        <v>95</v>
      </c>
      <c r="I8" s="18" t="s">
        <v>226</v>
      </c>
      <c r="J8" s="21"/>
      <c r="K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storage.type.class.${1:/downcase}._noted-doc.dep._level-{{level}}._feeling-ok.text.notedoc</v>
      </c>
      <c r="L8" s="9" t="str">
        <f>"" &amp;  IF(Table2[[#This Row],[hasUnsafeRegex]] = 0, Table2[[#This Row],[regexTermInput]], "(?:" &amp; Table2[[#This Row],[regexTermInput]] &amp; ")")</f>
        <v>REQUIRES?</v>
      </c>
      <c r="M8" s="11">
        <f>IF( IFERROR( FIND("$", Table2[[#This Row],[unsafeRegexGuess]]), 0) &lt;=0, 0, 1)</f>
        <v>0</v>
      </c>
      <c r="N8" s="11">
        <f>IF( IFERROR( FIND("$", Table2[[#This Row],[anyRegexGuess]]), 0) &lt;=0, 0, 1)</f>
        <v>1</v>
      </c>
      <c r="O8" s="13" t="str">
        <f>SUBSTITUTE( SUBSTITUTE( SUBSTITUTE(SUBSTITUTE(Table2[[#This Row],[unsafeRegexGuess]], ")", "$"), "*", "$"), "+", "$"), "?", "$")</f>
        <v>REQUIRES$</v>
      </c>
      <c r="P8" s="13" t="str">
        <f xml:space="preserve"> SUBSTITUTE( SUBSTITUTE( SUBSTITUTE(Table2[[#This Row],[regexTermInput]], "(", "$"), "|", "$"), "^", "$")</f>
        <v>REQUIRES?</v>
      </c>
      <c r="Q8"/>
      <c r="R8"/>
      <c r="S8"/>
      <c r="T8"/>
      <c r="U8"/>
      <c r="V8"/>
      <c r="X8"/>
    </row>
    <row r="9" spans="2:24" hidden="1" outlineLevel="1">
      <c r="B9" s="7">
        <f>IF( Table2[[#This Row],[target_lang]] = "noted", 1, 0)</f>
        <v>0</v>
      </c>
      <c r="C9" s="7">
        <f xml:space="preserve"> IF( Table2[[#This Row],[target_lang]] = "notedoc", 1, 0)</f>
        <v>1</v>
      </c>
      <c r="D9" s="10" t="s">
        <v>167</v>
      </c>
      <c r="E9" s="10" t="str">
        <f>IF( Table2[[#This Row],[label]] = "", "", IF( Table2[[#This Row],[origin]] = "notedoc",  Table2[[#This Row],[origin]],  "noted"))</f>
        <v>notedoc</v>
      </c>
      <c r="F9" s="18" t="s">
        <v>114</v>
      </c>
      <c r="G9" s="19" t="s">
        <v>119</v>
      </c>
      <c r="H9" s="20" t="str">
        <f>Table2[[#This Row],[label]]</f>
        <v>BREAK</v>
      </c>
      <c r="I9" s="18" t="s">
        <v>226</v>
      </c>
      <c r="J9" s="21"/>
      <c r="K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9" s="9" t="str">
        <f>"" &amp;  IF(Table2[[#This Row],[hasUnsafeRegex]] = 0, Table2[[#This Row],[regexTermInput]], "(?:" &amp; Table2[[#This Row],[regexTermInput]] &amp; ")")</f>
        <v>BREAK</v>
      </c>
      <c r="M9" s="11">
        <f>IF( IFERROR( FIND("$", Table2[[#This Row],[unsafeRegexGuess]]), 0) &lt;=0, 0, 1)</f>
        <v>0</v>
      </c>
      <c r="N9" s="11">
        <f>IF( IFERROR( FIND("$", Table2[[#This Row],[anyRegexGuess]]), 0) &lt;=0, 0, 1)</f>
        <v>0</v>
      </c>
      <c r="O9" s="13" t="str">
        <f>SUBSTITUTE( SUBSTITUTE( SUBSTITUTE(SUBSTITUTE(Table2[[#This Row],[unsafeRegexGuess]], ")", "$"), "*", "$"), "+", "$"), "?", "$")</f>
        <v>BREAK</v>
      </c>
      <c r="P9" s="13" t="str">
        <f xml:space="preserve"> SUBSTITUTE( SUBSTITUTE( SUBSTITUTE(Table2[[#This Row],[regexTermInput]], "(", "$"), "|", "$"), "^", "$")</f>
        <v>BREAK</v>
      </c>
      <c r="Q9"/>
      <c r="R9"/>
      <c r="S9"/>
      <c r="T9"/>
      <c r="U9"/>
      <c r="V9"/>
      <c r="X9"/>
    </row>
    <row r="10" spans="2:24" hidden="1" outlineLevel="1">
      <c r="B10" s="7">
        <f>IF( Table2[[#This Row],[target_lang]] = "noted", 1, 0)</f>
        <v>0</v>
      </c>
      <c r="C10" s="7">
        <f xml:space="preserve"> IF( Table2[[#This Row],[target_lang]] = "notedoc", 1, 0)</f>
        <v>1</v>
      </c>
      <c r="D10" s="10" t="s">
        <v>167</v>
      </c>
      <c r="E10" s="10" t="str">
        <f>IF( Table2[[#This Row],[label]] = "", "", IF( Table2[[#This Row],[origin]] = "notedoc",  Table2[[#This Row],[origin]],  "noted"))</f>
        <v>notedoc</v>
      </c>
      <c r="F10" s="18" t="s">
        <v>114</v>
      </c>
      <c r="G10" s="19" t="s">
        <v>121</v>
      </c>
      <c r="H10" s="20" t="str">
        <f>Table2[[#This Row],[label]]</f>
        <v>CONTINUE</v>
      </c>
      <c r="I10" s="18" t="s">
        <v>226</v>
      </c>
      <c r="J10" s="21"/>
      <c r="K1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0" s="9" t="str">
        <f>"" &amp;  IF(Table2[[#This Row],[hasUnsafeRegex]] = 0, Table2[[#This Row],[regexTermInput]], "(?:" &amp; Table2[[#This Row],[regexTermInput]] &amp; ")")</f>
        <v>CONTINUE</v>
      </c>
      <c r="M10" s="11">
        <f>IF( IFERROR( FIND("$", Table2[[#This Row],[unsafeRegexGuess]]), 0) &lt;=0, 0, 1)</f>
        <v>0</v>
      </c>
      <c r="N10" s="11">
        <f>IF( IFERROR( FIND("$", Table2[[#This Row],[anyRegexGuess]]), 0) &lt;=0, 0, 1)</f>
        <v>0</v>
      </c>
      <c r="O10" s="13" t="str">
        <f>SUBSTITUTE( SUBSTITUTE( SUBSTITUTE(SUBSTITUTE(Table2[[#This Row],[unsafeRegexGuess]], ")", "$"), "*", "$"), "+", "$"), "?", "$")</f>
        <v>CONTINUE</v>
      </c>
      <c r="P10" s="13" t="str">
        <f xml:space="preserve"> SUBSTITUTE( SUBSTITUTE( SUBSTITUTE(Table2[[#This Row],[regexTermInput]], "(", "$"), "|", "$"), "^", "$")</f>
        <v>CONTINUE</v>
      </c>
      <c r="Q10"/>
      <c r="R10"/>
      <c r="S10"/>
      <c r="T10"/>
      <c r="U10"/>
      <c r="V10"/>
      <c r="X10"/>
    </row>
    <row r="11" spans="2:24" ht="16" hidden="1" customHeight="1" outlineLevel="1">
      <c r="B11" s="7">
        <f>IF( Table2[[#This Row],[target_lang]] = "noted", 1, 0)</f>
        <v>0</v>
      </c>
      <c r="C11" s="7">
        <f xml:space="preserve"> IF( Table2[[#This Row],[target_lang]] = "notedoc", 1, 0)</f>
        <v>1</v>
      </c>
      <c r="D11" s="10" t="s">
        <v>167</v>
      </c>
      <c r="E11" s="10" t="str">
        <f>IF( Table2[[#This Row],[label]] = "", "", IF( Table2[[#This Row],[origin]] = "notedoc",  Table2[[#This Row],[origin]],  "noted"))</f>
        <v>notedoc</v>
      </c>
      <c r="F11" s="18" t="s">
        <v>114</v>
      </c>
      <c r="G11" s="19" t="s">
        <v>118</v>
      </c>
      <c r="H11" s="20" t="str">
        <f>Table2[[#This Row],[label]]</f>
        <v>EXIT</v>
      </c>
      <c r="I11" s="18" t="s">
        <v>226</v>
      </c>
      <c r="J11" s="21"/>
      <c r="K1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1" s="9" t="str">
        <f>"" &amp;  IF(Table2[[#This Row],[hasUnsafeRegex]] = 0, Table2[[#This Row],[regexTermInput]], "(?:" &amp; Table2[[#This Row],[regexTermInput]] &amp; ")")</f>
        <v>EXIT</v>
      </c>
      <c r="M11" s="11">
        <f>IF( IFERROR( FIND("$", Table2[[#This Row],[unsafeRegexGuess]]), 0) &lt;=0, 0, 1)</f>
        <v>0</v>
      </c>
      <c r="N11" s="11">
        <f>IF( IFERROR( FIND("$", Table2[[#This Row],[anyRegexGuess]]), 0) &lt;=0, 0, 1)</f>
        <v>0</v>
      </c>
      <c r="O11" s="13" t="str">
        <f>SUBSTITUTE( SUBSTITUTE( SUBSTITUTE(SUBSTITUTE(Table2[[#This Row],[unsafeRegexGuess]], ")", "$"), "*", "$"), "+", "$"), "?", "$")</f>
        <v>EXIT</v>
      </c>
      <c r="P11" s="13" t="str">
        <f xml:space="preserve"> SUBSTITUTE( SUBSTITUTE( SUBSTITUTE(Table2[[#This Row],[regexTermInput]], "(", "$"), "|", "$"), "^", "$")</f>
        <v>EXIT</v>
      </c>
      <c r="Q11"/>
      <c r="R11"/>
      <c r="S11"/>
      <c r="T11"/>
      <c r="U11"/>
      <c r="V11"/>
      <c r="X11"/>
    </row>
    <row r="12" spans="2:24" ht="16" hidden="1" customHeight="1" outlineLevel="1">
      <c r="B12" s="7">
        <f>IF( Table2[[#This Row],[target_lang]] = "noted", 1, 0)</f>
        <v>0</v>
      </c>
      <c r="C12" s="7">
        <f xml:space="preserve"> IF( Table2[[#This Row],[target_lang]] = "notedoc", 1, 0)</f>
        <v>1</v>
      </c>
      <c r="D12" s="10" t="s">
        <v>167</v>
      </c>
      <c r="E12" s="10" t="str">
        <f>IF( Table2[[#This Row],[label]] = "", "", IF( Table2[[#This Row],[origin]] = "notedoc",  Table2[[#This Row],[origin]],  "noted"))</f>
        <v>notedoc</v>
      </c>
      <c r="F12" s="18" t="s">
        <v>114</v>
      </c>
      <c r="G12" s="19" t="s">
        <v>139</v>
      </c>
      <c r="H12" s="20" t="s">
        <v>115</v>
      </c>
      <c r="I12" s="18" t="s">
        <v>226</v>
      </c>
      <c r="J12" s="21"/>
      <c r="K1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2" s="9" t="str">
        <f>"" &amp;  IF(Table2[[#This Row],[hasUnsafeRegex]] = 0, Table2[[#This Row],[regexTermInput]], "(?:" &amp; Table2[[#This Row],[regexTermInput]] &amp; ")")</f>
        <v>(?:FOR(?:EACH))</v>
      </c>
      <c r="M12" s="11">
        <f>IF( IFERROR( FIND("$", Table2[[#This Row],[unsafeRegexGuess]]), 0) &lt;=0, 0, 1)</f>
        <v>1</v>
      </c>
      <c r="N12" s="11">
        <f>IF( IFERROR( FIND("$", Table2[[#This Row],[anyRegexGuess]]), 0) &lt;=0, 0, 1)</f>
        <v>1</v>
      </c>
      <c r="O12" s="13" t="str">
        <f>SUBSTITUTE( SUBSTITUTE( SUBSTITUTE(SUBSTITUTE(Table2[[#This Row],[unsafeRegexGuess]], ")", "$"), "*", "$"), "+", "$"), "?", "$")</f>
        <v>FOR$$:EACH$</v>
      </c>
      <c r="P12" s="13" t="str">
        <f xml:space="preserve"> SUBSTITUTE( SUBSTITUTE( SUBSTITUTE(Table2[[#This Row],[regexTermInput]], "(", "$"), "|", "$"), "^", "$")</f>
        <v>FOR$?:EACH)</v>
      </c>
      <c r="Q12"/>
      <c r="R12"/>
      <c r="S12"/>
      <c r="T12"/>
      <c r="U12"/>
      <c r="V12"/>
      <c r="X12"/>
    </row>
    <row r="13" spans="2:24" ht="16" hidden="1" customHeight="1" outlineLevel="1">
      <c r="B13" s="7">
        <f>IF( Table2[[#This Row],[target_lang]] = "noted", 1, 0)</f>
        <v>0</v>
      </c>
      <c r="C13" s="7">
        <f xml:space="preserve"> IF( Table2[[#This Row],[target_lang]] = "notedoc", 1, 0)</f>
        <v>1</v>
      </c>
      <c r="D13" s="10" t="s">
        <v>167</v>
      </c>
      <c r="E13" s="10" t="str">
        <f>IF( Table2[[#This Row],[label]] = "", "", IF( Table2[[#This Row],[origin]] = "notedoc",  Table2[[#This Row],[origin]],  "noted"))</f>
        <v>notedoc</v>
      </c>
      <c r="F13" s="18" t="s">
        <v>114</v>
      </c>
      <c r="G13" s="19" t="s">
        <v>111</v>
      </c>
      <c r="H13" s="20" t="str">
        <f>Table2[[#This Row],[label]]</f>
        <v>IF</v>
      </c>
      <c r="I13" s="18" t="s">
        <v>226</v>
      </c>
      <c r="J13" s="21"/>
      <c r="K1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3" s="9" t="str">
        <f>"" &amp;  IF(Table2[[#This Row],[hasUnsafeRegex]] = 0, Table2[[#This Row],[regexTermInput]], "(?:" &amp; Table2[[#This Row],[regexTermInput]] &amp; ")")</f>
        <v>IF</v>
      </c>
      <c r="M13" s="11">
        <f>IF( IFERROR( FIND("$", Table2[[#This Row],[unsafeRegexGuess]]), 0) &lt;=0, 0, 1)</f>
        <v>0</v>
      </c>
      <c r="N13" s="11">
        <f>IF( IFERROR( FIND("$", Table2[[#This Row],[anyRegexGuess]]), 0) &lt;=0, 0, 1)</f>
        <v>0</v>
      </c>
      <c r="O13" s="13" t="str">
        <f>SUBSTITUTE( SUBSTITUTE( SUBSTITUTE(SUBSTITUTE(Table2[[#This Row],[unsafeRegexGuess]], ")", "$"), "*", "$"), "+", "$"), "?", "$")</f>
        <v>IF</v>
      </c>
      <c r="P13" s="13" t="str">
        <f xml:space="preserve"> SUBSTITUTE( SUBSTITUTE( SUBSTITUTE(Table2[[#This Row],[regexTermInput]], "(", "$"), "|", "$"), "^", "$")</f>
        <v>IF</v>
      </c>
      <c r="Q13"/>
      <c r="R13"/>
      <c r="S13"/>
      <c r="T13"/>
      <c r="U13"/>
      <c r="V13"/>
      <c r="X13"/>
    </row>
    <row r="14" spans="2:24" ht="16" hidden="1" customHeight="1" outlineLevel="1">
      <c r="B14" s="7">
        <f>IF( Table2[[#This Row],[target_lang]] = "noted", 1, 0)</f>
        <v>0</v>
      </c>
      <c r="C14" s="7">
        <f xml:space="preserve"> IF( Table2[[#This Row],[target_lang]] = "notedoc", 1, 0)</f>
        <v>1</v>
      </c>
      <c r="D14" s="10" t="s">
        <v>167</v>
      </c>
      <c r="E14" s="10" t="str">
        <f>IF( Table2[[#This Row],[label]] = "", "", IF( Table2[[#This Row],[origin]] = "notedoc",  Table2[[#This Row],[origin]],  "noted"))</f>
        <v>notedoc</v>
      </c>
      <c r="F14" s="18" t="s">
        <v>114</v>
      </c>
      <c r="G14" s="19" t="s">
        <v>122</v>
      </c>
      <c r="H14" s="20" t="str">
        <f>Table2[[#This Row],[label]]</f>
        <v>LAST</v>
      </c>
      <c r="I14" s="18" t="s">
        <v>226</v>
      </c>
      <c r="J14" s="21"/>
      <c r="K1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4" s="9" t="str">
        <f>"" &amp;  IF(Table2[[#This Row],[hasUnsafeRegex]] = 0, Table2[[#This Row],[regexTermInput]], "(?:" &amp; Table2[[#This Row],[regexTermInput]] &amp; ")")</f>
        <v>LAST</v>
      </c>
      <c r="M14" s="11">
        <f>IF( IFERROR( FIND("$", Table2[[#This Row],[unsafeRegexGuess]]), 0) &lt;=0, 0, 1)</f>
        <v>0</v>
      </c>
      <c r="N14" s="11">
        <f>IF( IFERROR( FIND("$", Table2[[#This Row],[anyRegexGuess]]), 0) &lt;=0, 0, 1)</f>
        <v>0</v>
      </c>
      <c r="O14" s="13" t="str">
        <f>SUBSTITUTE( SUBSTITUTE( SUBSTITUTE(SUBSTITUTE(Table2[[#This Row],[unsafeRegexGuess]], ")", "$"), "*", "$"), "+", "$"), "?", "$")</f>
        <v>LAST</v>
      </c>
      <c r="P14" s="13" t="str">
        <f xml:space="preserve"> SUBSTITUTE( SUBSTITUTE( SUBSTITUTE(Table2[[#This Row],[regexTermInput]], "(", "$"), "|", "$"), "^", "$")</f>
        <v>LAST</v>
      </c>
      <c r="Q14"/>
      <c r="R14"/>
      <c r="S14"/>
      <c r="T14"/>
      <c r="U14"/>
      <c r="V14"/>
      <c r="X14"/>
    </row>
    <row r="15" spans="2:24" ht="16" hidden="1" customHeight="1" outlineLevel="1">
      <c r="B15" s="7">
        <f>IF( Table2[[#This Row],[target_lang]] = "noted", 1, 0)</f>
        <v>0</v>
      </c>
      <c r="C15" s="7">
        <f xml:space="preserve"> IF( Table2[[#This Row],[target_lang]] = "notedoc", 1, 0)</f>
        <v>1</v>
      </c>
      <c r="D15" s="10" t="s">
        <v>167</v>
      </c>
      <c r="E15" s="10" t="str">
        <f>IF( Table2[[#This Row],[label]] = "", "", IF( Table2[[#This Row],[origin]] = "notedoc",  Table2[[#This Row],[origin]],  "noted"))</f>
        <v>notedoc</v>
      </c>
      <c r="F15" s="18" t="s">
        <v>114</v>
      </c>
      <c r="G15" s="19" t="s">
        <v>123</v>
      </c>
      <c r="H15" s="20" t="str">
        <f>Table2[[#This Row],[label]]</f>
        <v>LOOP</v>
      </c>
      <c r="I15" s="18" t="s">
        <v>226</v>
      </c>
      <c r="J15" s="21"/>
      <c r="K1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5" s="9" t="str">
        <f>"" &amp;  IF(Table2[[#This Row],[hasUnsafeRegex]] = 0, Table2[[#This Row],[regexTermInput]], "(?:" &amp; Table2[[#This Row],[regexTermInput]] &amp; ")")</f>
        <v>LOOP</v>
      </c>
      <c r="M15" s="11">
        <f>IF( IFERROR( FIND("$", Table2[[#This Row],[unsafeRegexGuess]]), 0) &lt;=0, 0, 1)</f>
        <v>0</v>
      </c>
      <c r="N15" s="11">
        <f>IF( IFERROR( FIND("$", Table2[[#This Row],[anyRegexGuess]]), 0) &lt;=0, 0, 1)</f>
        <v>0</v>
      </c>
      <c r="O15" s="13" t="str">
        <f>SUBSTITUTE( SUBSTITUTE( SUBSTITUTE(SUBSTITUTE(Table2[[#This Row],[unsafeRegexGuess]], ")", "$"), "*", "$"), "+", "$"), "?", "$")</f>
        <v>LOOP</v>
      </c>
      <c r="P15" s="13" t="str">
        <f xml:space="preserve"> SUBSTITUTE( SUBSTITUTE( SUBSTITUTE(Table2[[#This Row],[regexTermInput]], "(", "$"), "|", "$"), "^", "$")</f>
        <v>LOOP</v>
      </c>
      <c r="Q15"/>
      <c r="R15"/>
      <c r="S15"/>
      <c r="T15"/>
      <c r="U15"/>
      <c r="V15"/>
      <c r="X15"/>
    </row>
    <row r="16" spans="2:24" ht="16" hidden="1" customHeight="1" outlineLevel="1">
      <c r="B16" s="7">
        <f>IF( Table2[[#This Row],[target_lang]] = "noted", 1, 0)</f>
        <v>0</v>
      </c>
      <c r="C16" s="7">
        <f xml:space="preserve"> IF( Table2[[#This Row],[target_lang]] = "notedoc", 1, 0)</f>
        <v>1</v>
      </c>
      <c r="D16" s="10" t="s">
        <v>167</v>
      </c>
      <c r="E16" s="10" t="str">
        <f>IF( Table2[[#This Row],[label]] = "", "", IF( Table2[[#This Row],[origin]] = "notedoc",  Table2[[#This Row],[origin]],  "noted"))</f>
        <v>notedoc</v>
      </c>
      <c r="F16" s="18" t="s">
        <v>114</v>
      </c>
      <c r="G16" s="19" t="s">
        <v>120</v>
      </c>
      <c r="H16" s="20" t="str">
        <f>Table2[[#This Row],[label]]</f>
        <v>NEXT</v>
      </c>
      <c r="I16" s="18" t="s">
        <v>226</v>
      </c>
      <c r="J16" s="22"/>
      <c r="K1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6" s="8" t="str">
        <f>"" &amp;  IF(Table2[[#This Row],[hasUnsafeRegex]] = 0, Table2[[#This Row],[regexTermInput]], "(?:" &amp; Table2[[#This Row],[regexTermInput]] &amp; ")")</f>
        <v>NEXT</v>
      </c>
      <c r="M16" s="11">
        <f>IF( IFERROR( FIND("$", Table2[[#This Row],[unsafeRegexGuess]]), 0) &lt;=0, 0, 1)</f>
        <v>0</v>
      </c>
      <c r="N16" s="11">
        <f>IF( IFERROR( FIND("$", Table2[[#This Row],[anyRegexGuess]]), 0) &lt;=0, 0, 1)</f>
        <v>0</v>
      </c>
      <c r="O16" s="13" t="str">
        <f>SUBSTITUTE( SUBSTITUTE( SUBSTITUTE(SUBSTITUTE(Table2[[#This Row],[unsafeRegexGuess]], ")", "$"), "*", "$"), "+", "$"), "?", "$")</f>
        <v>NEXT</v>
      </c>
      <c r="P16" s="13" t="str">
        <f xml:space="preserve"> SUBSTITUTE( SUBSTITUTE( SUBSTITUTE(Table2[[#This Row],[regexTermInput]], "(", "$"), "|", "$"), "^", "$")</f>
        <v>NEXT</v>
      </c>
      <c r="Q16"/>
      <c r="R16"/>
      <c r="S16"/>
      <c r="T16"/>
      <c r="U16"/>
      <c r="V16"/>
      <c r="X16"/>
    </row>
    <row r="17" spans="2:24" ht="16" hidden="1" customHeight="1" outlineLevel="1">
      <c r="B17" s="7">
        <f>IF( Table2[[#This Row],[target_lang]] = "noted", 1, 0)</f>
        <v>0</v>
      </c>
      <c r="C17" s="7">
        <f xml:space="preserve"> IF( Table2[[#This Row],[target_lang]] = "notedoc", 1, 0)</f>
        <v>1</v>
      </c>
      <c r="D17" s="10" t="s">
        <v>167</v>
      </c>
      <c r="E17" s="10" t="str">
        <f>IF( Table2[[#This Row],[label]] = "", "", IF( Table2[[#This Row],[origin]] = "notedoc",  Table2[[#This Row],[origin]],  "noted"))</f>
        <v>notedoc</v>
      </c>
      <c r="F17" s="18" t="s">
        <v>114</v>
      </c>
      <c r="G17" s="19" t="s">
        <v>128</v>
      </c>
      <c r="H17" s="20" t="str">
        <f>Table2[[#This Row],[label]]</f>
        <v>REF</v>
      </c>
      <c r="I17" s="18" t="s">
        <v>226</v>
      </c>
      <c r="J17" s="22"/>
      <c r="K1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7" s="8" t="str">
        <f>"" &amp;  IF(Table2[[#This Row],[hasUnsafeRegex]] = 0, Table2[[#This Row],[regexTermInput]], "(?:" &amp; Table2[[#This Row],[regexTermInput]] &amp; ")")</f>
        <v>REF</v>
      </c>
      <c r="M17" s="11">
        <f>IF( IFERROR( FIND("$", Table2[[#This Row],[unsafeRegexGuess]]), 0) &lt;=0, 0, 1)</f>
        <v>0</v>
      </c>
      <c r="N17" s="11">
        <f>IF( IFERROR( FIND("$", Table2[[#This Row],[anyRegexGuess]]), 0) &lt;=0, 0, 1)</f>
        <v>0</v>
      </c>
      <c r="O17" s="13" t="str">
        <f>SUBSTITUTE( SUBSTITUTE( SUBSTITUTE(SUBSTITUTE(Table2[[#This Row],[unsafeRegexGuess]], ")", "$"), "*", "$"), "+", "$"), "?", "$")</f>
        <v>REF</v>
      </c>
      <c r="P17" s="13" t="str">
        <f xml:space="preserve"> SUBSTITUTE( SUBSTITUTE( SUBSTITUTE(Table2[[#This Row],[regexTermInput]], "(", "$"), "|", "$"), "^", "$")</f>
        <v>REF</v>
      </c>
      <c r="Q17"/>
      <c r="R17"/>
      <c r="S17"/>
      <c r="T17"/>
      <c r="U17"/>
      <c r="V17"/>
      <c r="X17"/>
    </row>
    <row r="18" spans="2:24" ht="16" hidden="1" customHeight="1" outlineLevel="1">
      <c r="B18" s="7">
        <f>IF( Table2[[#This Row],[target_lang]] = "noted", 1, 0)</f>
        <v>0</v>
      </c>
      <c r="C18" s="7">
        <f xml:space="preserve"> IF( Table2[[#This Row],[target_lang]] = "notedoc", 1, 0)</f>
        <v>1</v>
      </c>
      <c r="D18" s="10" t="s">
        <v>167</v>
      </c>
      <c r="E18" s="10" t="str">
        <f>IF( Table2[[#This Row],[label]] = "", "", IF( Table2[[#This Row],[origin]] = "notedoc",  Table2[[#This Row],[origin]],  "noted"))</f>
        <v>notedoc</v>
      </c>
      <c r="F18" s="18" t="s">
        <v>114</v>
      </c>
      <c r="G18" s="19" t="s">
        <v>116</v>
      </c>
      <c r="H18" s="20" t="str">
        <f>Table2[[#This Row],[label]]</f>
        <v>REPEAT</v>
      </c>
      <c r="I18" s="18" t="s">
        <v>226</v>
      </c>
      <c r="J18" s="22"/>
      <c r="K1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8" s="8" t="str">
        <f>"" &amp;  IF(Table2[[#This Row],[hasUnsafeRegex]] = 0, Table2[[#This Row],[regexTermInput]], "(?:" &amp; Table2[[#This Row],[regexTermInput]] &amp; ")")</f>
        <v>REPEAT</v>
      </c>
      <c r="M18" s="11">
        <f>IF( IFERROR( FIND("$", Table2[[#This Row],[unsafeRegexGuess]]), 0) &lt;=0, 0, 1)</f>
        <v>0</v>
      </c>
      <c r="N18" s="11">
        <f>IF( IFERROR( FIND("$", Table2[[#This Row],[anyRegexGuess]]), 0) &lt;=0, 0, 1)</f>
        <v>0</v>
      </c>
      <c r="O18" s="13" t="str">
        <f>SUBSTITUTE( SUBSTITUTE( SUBSTITUTE(SUBSTITUTE(Table2[[#This Row],[unsafeRegexGuess]], ")", "$"), "*", "$"), "+", "$"), "?", "$")</f>
        <v>REPEAT</v>
      </c>
      <c r="P18" s="13" t="str">
        <f xml:space="preserve"> SUBSTITUTE( SUBSTITUTE( SUBSTITUTE(Table2[[#This Row],[regexTermInput]], "(", "$"), "|", "$"), "^", "$")</f>
        <v>REPEAT</v>
      </c>
      <c r="Q18"/>
      <c r="R18"/>
      <c r="S18"/>
      <c r="T18"/>
      <c r="U18"/>
      <c r="V18"/>
      <c r="X18"/>
    </row>
    <row r="19" spans="2:24" ht="16" hidden="1" customHeight="1" outlineLevel="1">
      <c r="B19" s="7">
        <f>IF( Table2[[#This Row],[target_lang]] = "noted", 1, 0)</f>
        <v>0</v>
      </c>
      <c r="C19" s="7">
        <f xml:space="preserve"> IF( Table2[[#This Row],[target_lang]] = "notedoc", 1, 0)</f>
        <v>1</v>
      </c>
      <c r="D19" s="10" t="s">
        <v>167</v>
      </c>
      <c r="E19" s="10" t="str">
        <f>IF( Table2[[#This Row],[label]] = "", "", IF( Table2[[#This Row],[origin]] = "notedoc",  Table2[[#This Row],[origin]],  "noted"))</f>
        <v>notedoc</v>
      </c>
      <c r="F19" s="18" t="s">
        <v>114</v>
      </c>
      <c r="G19" s="19" t="s">
        <v>160</v>
      </c>
      <c r="H19" s="20" t="str">
        <f>Table2[[#This Row],[label]]</f>
        <v>SWITCH</v>
      </c>
      <c r="I19" s="18" t="s">
        <v>226</v>
      </c>
      <c r="J19" s="22"/>
      <c r="K1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19" s="8" t="str">
        <f>"" &amp;  IF(Table2[[#This Row],[hasUnsafeRegex]] = 0, Table2[[#This Row],[regexTermInput]], "(?:" &amp; Table2[[#This Row],[regexTermInput]] &amp; ")")</f>
        <v>SWITCH</v>
      </c>
      <c r="M19" s="11">
        <f>IF( IFERROR( FIND("$", Table2[[#This Row],[unsafeRegexGuess]]), 0) &lt;=0, 0, 1)</f>
        <v>0</v>
      </c>
      <c r="N19" s="11">
        <f>IF( IFERROR( FIND("$", Table2[[#This Row],[anyRegexGuess]]), 0) &lt;=0, 0, 1)</f>
        <v>0</v>
      </c>
      <c r="O19" s="13" t="str">
        <f>SUBSTITUTE( SUBSTITUTE( SUBSTITUTE(SUBSTITUTE(Table2[[#This Row],[unsafeRegexGuess]], ")", "$"), "*", "$"), "+", "$"), "?", "$")</f>
        <v>SWITCH</v>
      </c>
      <c r="P19" s="13" t="str">
        <f xml:space="preserve"> SUBSTITUTE( SUBSTITUTE( SUBSTITUTE(Table2[[#This Row],[regexTermInput]], "(", "$"), "|", "$"), "^", "$")</f>
        <v>SWITCH</v>
      </c>
      <c r="Q19"/>
      <c r="R19"/>
      <c r="S19"/>
      <c r="T19"/>
      <c r="U19"/>
      <c r="V19"/>
      <c r="X19"/>
    </row>
    <row r="20" spans="2:24" ht="16" hidden="1" customHeight="1" outlineLevel="1">
      <c r="B20" s="7">
        <f>IF( Table2[[#This Row],[target_lang]] = "noted", 1, 0)</f>
        <v>0</v>
      </c>
      <c r="C20" s="7">
        <f xml:space="preserve"> IF( Table2[[#This Row],[target_lang]] = "notedoc", 1, 0)</f>
        <v>1</v>
      </c>
      <c r="D20" s="10" t="s">
        <v>167</v>
      </c>
      <c r="E20" s="10" t="str">
        <f>IF( Table2[[#This Row],[label]] = "", "", IF( Table2[[#This Row],[origin]] = "notedoc",  Table2[[#This Row],[origin]],  "noted"))</f>
        <v>notedoc</v>
      </c>
      <c r="F20" s="18" t="s">
        <v>114</v>
      </c>
      <c r="G20" s="19" t="s">
        <v>112</v>
      </c>
      <c r="H20" s="20" t="str">
        <f>Table2[[#This Row],[label]]</f>
        <v>UNLESS</v>
      </c>
      <c r="I20" s="18" t="s">
        <v>226</v>
      </c>
      <c r="J20" s="23"/>
      <c r="K2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0" s="10" t="str">
        <f>"" &amp;  IF(Table2[[#This Row],[hasUnsafeRegex]] = 0, Table2[[#This Row],[regexTermInput]], "(?:" &amp; Table2[[#This Row],[regexTermInput]] &amp; ")")</f>
        <v>UNLESS</v>
      </c>
      <c r="M20" s="11">
        <f>IF( IFERROR( FIND("$", Table2[[#This Row],[unsafeRegexGuess]]), 0) &lt;=0, 0, 1)</f>
        <v>0</v>
      </c>
      <c r="N20" s="11">
        <f>IF( IFERROR( FIND("$", Table2[[#This Row],[anyRegexGuess]]), 0) &lt;=0, 0, 1)</f>
        <v>0</v>
      </c>
      <c r="O20" s="13" t="str">
        <f>SUBSTITUTE( SUBSTITUTE( SUBSTITUTE(SUBSTITUTE(Table2[[#This Row],[unsafeRegexGuess]], ")", "$"), "*", "$"), "+", "$"), "?", "$")</f>
        <v>UNLESS</v>
      </c>
      <c r="P20" s="13" t="str">
        <f xml:space="preserve"> SUBSTITUTE( SUBSTITUTE( SUBSTITUTE(Table2[[#This Row],[regexTermInput]], "(", "$"), "|", "$"), "^", "$")</f>
        <v>UNLESS</v>
      </c>
      <c r="Q20"/>
      <c r="R20"/>
      <c r="S20"/>
      <c r="T20"/>
      <c r="U20"/>
      <c r="V20"/>
      <c r="X20"/>
    </row>
    <row r="21" spans="2:24" ht="16" hidden="1" customHeight="1" outlineLevel="1">
      <c r="B21" s="7">
        <f>IF( Table2[[#This Row],[target_lang]] = "noted", 1, 0)</f>
        <v>0</v>
      </c>
      <c r="C21" s="7">
        <f xml:space="preserve"> IF( Table2[[#This Row],[target_lang]] = "notedoc", 1, 0)</f>
        <v>1</v>
      </c>
      <c r="D21" s="10" t="s">
        <v>167</v>
      </c>
      <c r="E21" s="10" t="str">
        <f>IF( Table2[[#This Row],[label]] = "", "", IF( Table2[[#This Row],[origin]] = "notedoc",  Table2[[#This Row],[origin]],  "noted"))</f>
        <v>notedoc</v>
      </c>
      <c r="F21" s="18" t="s">
        <v>114</v>
      </c>
      <c r="G21" s="19" t="s">
        <v>117</v>
      </c>
      <c r="H21" s="20" t="str">
        <f>Table2[[#This Row],[label]]</f>
        <v>UNTIL</v>
      </c>
      <c r="I21" s="18" t="s">
        <v>226</v>
      </c>
      <c r="J21" s="22"/>
      <c r="K2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1" s="8" t="str">
        <f>"" &amp;  IF(Table2[[#This Row],[hasUnsafeRegex]] = 0, Table2[[#This Row],[regexTermInput]], "(?:" &amp; Table2[[#This Row],[regexTermInput]] &amp; ")")</f>
        <v>UNTIL</v>
      </c>
      <c r="M21" s="11">
        <f>IF( IFERROR( FIND("$", Table2[[#This Row],[unsafeRegexGuess]]), 0) &lt;=0, 0, 1)</f>
        <v>0</v>
      </c>
      <c r="N21" s="11">
        <f>IF( IFERROR( FIND("$", Table2[[#This Row],[anyRegexGuess]]), 0) &lt;=0, 0, 1)</f>
        <v>0</v>
      </c>
      <c r="O21" s="13" t="str">
        <f>SUBSTITUTE( SUBSTITUTE( SUBSTITUTE(SUBSTITUTE(Table2[[#This Row],[unsafeRegexGuess]], ")", "$"), "*", "$"), "+", "$"), "?", "$")</f>
        <v>UNTIL</v>
      </c>
      <c r="P21" s="13" t="str">
        <f xml:space="preserve"> SUBSTITUTE( SUBSTITUTE( SUBSTITUTE(Table2[[#This Row],[regexTermInput]], "(", "$"), "|", "$"), "^", "$")</f>
        <v>UNTIL</v>
      </c>
      <c r="Q21"/>
      <c r="R21"/>
      <c r="S21"/>
      <c r="T21"/>
      <c r="U21"/>
      <c r="V21"/>
      <c r="X21"/>
    </row>
    <row r="22" spans="2:24" ht="16" hidden="1" customHeight="1" outlineLevel="1">
      <c r="B22" s="7">
        <f>IF( Table2[[#This Row],[target_lang]] = "noted", 1, 0)</f>
        <v>0</v>
      </c>
      <c r="C22" s="7">
        <f xml:space="preserve"> IF( Table2[[#This Row],[target_lang]] = "notedoc", 1, 0)</f>
        <v>1</v>
      </c>
      <c r="D22" s="10" t="s">
        <v>167</v>
      </c>
      <c r="E22" s="10" t="str">
        <f>IF( Table2[[#This Row],[label]] = "", "", IF( Table2[[#This Row],[origin]] = "notedoc",  Table2[[#This Row],[origin]],  "noted"))</f>
        <v>notedoc</v>
      </c>
      <c r="F22" s="18" t="s">
        <v>114</v>
      </c>
      <c r="G22" s="19" t="s">
        <v>113</v>
      </c>
      <c r="H22" s="20" t="str">
        <f>Table2[[#This Row],[label]]</f>
        <v>WHILE</v>
      </c>
      <c r="I22" s="18" t="s">
        <v>226</v>
      </c>
      <c r="J22" s="22"/>
      <c r="K2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storage.type.class.${1:/downcase}._noted-doc.exp._level-{{level}}._feeling-ok.text.notedoc</v>
      </c>
      <c r="L22" s="8" t="str">
        <f>"" &amp;  IF(Table2[[#This Row],[hasUnsafeRegex]] = 0, Table2[[#This Row],[regexTermInput]], "(?:" &amp; Table2[[#This Row],[regexTermInput]] &amp; ")")</f>
        <v>WHILE</v>
      </c>
      <c r="M22" s="11">
        <f>IF( IFERROR( FIND("$", Table2[[#This Row],[unsafeRegexGuess]]), 0) &lt;=0, 0, 1)</f>
        <v>0</v>
      </c>
      <c r="N22" s="11">
        <f>IF( IFERROR( FIND("$", Table2[[#This Row],[anyRegexGuess]]), 0) &lt;=0, 0, 1)</f>
        <v>0</v>
      </c>
      <c r="O22" s="13" t="str">
        <f>SUBSTITUTE( SUBSTITUTE( SUBSTITUTE(SUBSTITUTE(Table2[[#This Row],[unsafeRegexGuess]], ")", "$"), "*", "$"), "+", "$"), "?", "$")</f>
        <v>WHILE</v>
      </c>
      <c r="P22" s="13" t="str">
        <f xml:space="preserve"> SUBSTITUTE( SUBSTITUTE( SUBSTITUTE(Table2[[#This Row],[regexTermInput]], "(", "$"), "|", "$"), "^", "$")</f>
        <v>WHILE</v>
      </c>
      <c r="Q22"/>
      <c r="R22"/>
      <c r="S22"/>
      <c r="T22"/>
      <c r="U22"/>
      <c r="V22"/>
      <c r="X22"/>
    </row>
    <row r="23" spans="2:24" ht="16" hidden="1" customHeight="1" outlineLevel="1">
      <c r="B23" s="7">
        <f>IF( Table2[[#This Row],[target_lang]] = "noted", 1, 0)</f>
        <v>0</v>
      </c>
      <c r="C23" s="7">
        <f xml:space="preserve"> IF( Table2[[#This Row],[target_lang]] = "notedoc", 1, 0)</f>
        <v>1</v>
      </c>
      <c r="D23" s="10" t="s">
        <v>167</v>
      </c>
      <c r="E23" s="10" t="str">
        <f>IF( Table2[[#This Row],[label]] = "", "", IF( Table2[[#This Row],[origin]] = "notedoc",  Table2[[#This Row],[origin]],  "noted"))</f>
        <v>notedoc</v>
      </c>
      <c r="F23" s="18" t="s">
        <v>110</v>
      </c>
      <c r="G23" s="19" t="s">
        <v>126</v>
      </c>
      <c r="H23" s="20" t="str">
        <f>Table2[[#This Row],[label]]</f>
        <v>ARRAY</v>
      </c>
      <c r="I23" s="18" t="s">
        <v>226</v>
      </c>
      <c r="J23" s="22"/>
      <c r="K2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3" s="8" t="str">
        <f>"" &amp;  IF(Table2[[#This Row],[hasUnsafeRegex]] = 0, Table2[[#This Row],[regexTermInput]], "(?:" &amp; Table2[[#This Row],[regexTermInput]] &amp; ")")</f>
        <v>ARRAY</v>
      </c>
      <c r="M23" s="11">
        <f>IF( IFERROR( FIND("$", Table2[[#This Row],[unsafeRegexGuess]]), 0) &lt;=0, 0, 1)</f>
        <v>0</v>
      </c>
      <c r="N23" s="11">
        <f>IF( IFERROR( FIND("$", Table2[[#This Row],[anyRegexGuess]]), 0) &lt;=0, 0, 1)</f>
        <v>0</v>
      </c>
      <c r="O23" s="13" t="str">
        <f>SUBSTITUTE( SUBSTITUTE( SUBSTITUTE(SUBSTITUTE(Table2[[#This Row],[unsafeRegexGuess]], ")", "$"), "*", "$"), "+", "$"), "?", "$")</f>
        <v>ARRAY</v>
      </c>
      <c r="P23" s="13" t="str">
        <f xml:space="preserve"> SUBSTITUTE( SUBSTITUTE( SUBSTITUTE(Table2[[#This Row],[regexTermInput]], "(", "$"), "|", "$"), "^", "$")</f>
        <v>ARRAY</v>
      </c>
      <c r="Q23"/>
      <c r="R23"/>
      <c r="S23"/>
      <c r="T23"/>
      <c r="U23"/>
      <c r="V23"/>
      <c r="X23"/>
    </row>
    <row r="24" spans="2:24" ht="16" hidden="1" customHeight="1" outlineLevel="1">
      <c r="B24" s="7">
        <f>IF( Table2[[#This Row],[target_lang]] = "noted", 1, 0)</f>
        <v>0</v>
      </c>
      <c r="C24" s="7">
        <f xml:space="preserve"> IF( Table2[[#This Row],[target_lang]] = "notedoc", 1, 0)</f>
        <v>1</v>
      </c>
      <c r="D24" s="10" t="s">
        <v>167</v>
      </c>
      <c r="E24" s="10" t="str">
        <f>IF( Table2[[#This Row],[label]] = "", "", IF( Table2[[#This Row],[origin]] = "notedoc",  Table2[[#This Row],[origin]],  "noted"))</f>
        <v>notedoc</v>
      </c>
      <c r="F24" s="18" t="s">
        <v>110</v>
      </c>
      <c r="G24" s="19" t="s">
        <v>140</v>
      </c>
      <c r="H24" s="20" t="s">
        <v>129</v>
      </c>
      <c r="I24" s="18" t="s">
        <v>226</v>
      </c>
      <c r="J24" s="22"/>
      <c r="K2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4" s="8" t="str">
        <f>"" &amp;  IF(Table2[[#This Row],[hasUnsafeRegex]] = 0, Table2[[#This Row],[regexTermInput]], "(?:" &amp; Table2[[#This Row],[regexTermInput]] &amp; ")")</f>
        <v>ARRAY_?REF</v>
      </c>
      <c r="M24" s="11">
        <f>IF( IFERROR( FIND("$", Table2[[#This Row],[unsafeRegexGuess]]), 0) &lt;=0, 0, 1)</f>
        <v>0</v>
      </c>
      <c r="N24" s="11">
        <f>IF( IFERROR( FIND("$", Table2[[#This Row],[anyRegexGuess]]), 0) &lt;=0, 0, 1)</f>
        <v>1</v>
      </c>
      <c r="O24" s="13" t="str">
        <f>SUBSTITUTE( SUBSTITUTE( SUBSTITUTE(SUBSTITUTE(Table2[[#This Row],[unsafeRegexGuess]], ")", "$"), "*", "$"), "+", "$"), "?", "$")</f>
        <v>ARRAY_$REF</v>
      </c>
      <c r="P24" s="13" t="str">
        <f xml:space="preserve"> SUBSTITUTE( SUBSTITUTE( SUBSTITUTE(Table2[[#This Row],[regexTermInput]], "(", "$"), "|", "$"), "^", "$")</f>
        <v>ARRAY_?REF</v>
      </c>
      <c r="Q24"/>
      <c r="R24"/>
      <c r="S24"/>
      <c r="T24"/>
      <c r="U24"/>
      <c r="V24"/>
      <c r="X24"/>
    </row>
    <row r="25" spans="2:24" ht="16" hidden="1" customHeight="1" outlineLevel="1">
      <c r="B25" s="7">
        <f>IF( Table2[[#This Row],[target_lang]] = "noted", 1, 0)</f>
        <v>0</v>
      </c>
      <c r="C25" s="7">
        <f xml:space="preserve"> IF( Table2[[#This Row],[target_lang]] = "notedoc", 1, 0)</f>
        <v>1</v>
      </c>
      <c r="D25" s="10" t="s">
        <v>167</v>
      </c>
      <c r="E25" s="10" t="str">
        <f>IF( Table2[[#This Row],[label]] = "", "", IF( Table2[[#This Row],[origin]] = "notedoc",  Table2[[#This Row],[origin]],  "noted"))</f>
        <v>notedoc</v>
      </c>
      <c r="F25" s="18" t="s">
        <v>110</v>
      </c>
      <c r="G25" s="19" t="s">
        <v>127</v>
      </c>
      <c r="H25" s="20" t="str">
        <f>Table2[[#This Row],[label]]</f>
        <v>HASH</v>
      </c>
      <c r="I25" s="18" t="s">
        <v>226</v>
      </c>
      <c r="J25" s="22"/>
      <c r="K2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5" s="8" t="str">
        <f>"" &amp;  IF(Table2[[#This Row],[hasUnsafeRegex]] = 0, Table2[[#This Row],[regexTermInput]], "(?:" &amp; Table2[[#This Row],[regexTermInput]] &amp; ")")</f>
        <v>HASH</v>
      </c>
      <c r="M25" s="11">
        <f>IF( IFERROR( FIND("$", Table2[[#This Row],[unsafeRegexGuess]]), 0) &lt;=0, 0, 1)</f>
        <v>0</v>
      </c>
      <c r="N25" s="11">
        <f>IF( IFERROR( FIND("$", Table2[[#This Row],[anyRegexGuess]]), 0) &lt;=0, 0, 1)</f>
        <v>0</v>
      </c>
      <c r="O25" s="13" t="str">
        <f>SUBSTITUTE( SUBSTITUTE( SUBSTITUTE(SUBSTITUTE(Table2[[#This Row],[unsafeRegexGuess]], ")", "$"), "*", "$"), "+", "$"), "?", "$")</f>
        <v>HASH</v>
      </c>
      <c r="P25" s="13" t="str">
        <f xml:space="preserve"> SUBSTITUTE( SUBSTITUTE( SUBSTITUTE(Table2[[#This Row],[regexTermInput]], "(", "$"), "|", "$"), "^", "$")</f>
        <v>HASH</v>
      </c>
      <c r="Q25"/>
      <c r="R25"/>
      <c r="S25"/>
      <c r="T25"/>
      <c r="U25"/>
      <c r="V25"/>
      <c r="X25"/>
    </row>
    <row r="26" spans="2:24" ht="16" hidden="1" customHeight="1" outlineLevel="1">
      <c r="B26" s="7">
        <f>IF( Table2[[#This Row],[target_lang]] = "noted", 1, 0)</f>
        <v>0</v>
      </c>
      <c r="C26" s="7">
        <f xml:space="preserve"> IF( Table2[[#This Row],[target_lang]] = "notedoc", 1, 0)</f>
        <v>1</v>
      </c>
      <c r="D26" s="10" t="s">
        <v>167</v>
      </c>
      <c r="E26" s="10" t="str">
        <f>IF( Table2[[#This Row],[label]] = "", "", IF( Table2[[#This Row],[origin]] = "notedoc",  Table2[[#This Row],[origin]],  "noted"))</f>
        <v>notedoc</v>
      </c>
      <c r="F26" s="18" t="s">
        <v>110</v>
      </c>
      <c r="G26" s="19" t="s">
        <v>141</v>
      </c>
      <c r="H26" s="20" t="s">
        <v>130</v>
      </c>
      <c r="I26" s="18" t="s">
        <v>226</v>
      </c>
      <c r="J26" s="22"/>
      <c r="K2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6" s="8" t="str">
        <f>"" &amp;  IF(Table2[[#This Row],[hasUnsafeRegex]] = 0, Table2[[#This Row],[regexTermInput]], "(?:" &amp; Table2[[#This Row],[regexTermInput]] &amp; ")")</f>
        <v>HASH_?REF</v>
      </c>
      <c r="M26" s="11">
        <f>IF( IFERROR( FIND("$", Table2[[#This Row],[unsafeRegexGuess]]), 0) &lt;=0, 0, 1)</f>
        <v>0</v>
      </c>
      <c r="N26" s="11">
        <f>IF( IFERROR( FIND("$", Table2[[#This Row],[anyRegexGuess]]), 0) &lt;=0, 0, 1)</f>
        <v>1</v>
      </c>
      <c r="O26" s="13" t="str">
        <f>SUBSTITUTE( SUBSTITUTE( SUBSTITUTE(SUBSTITUTE(Table2[[#This Row],[unsafeRegexGuess]], ")", "$"), "*", "$"), "+", "$"), "?", "$")</f>
        <v>HASH_$REF</v>
      </c>
      <c r="P26" s="13" t="str">
        <f xml:space="preserve"> SUBSTITUTE( SUBSTITUTE( SUBSTITUTE(Table2[[#This Row],[regexTermInput]], "(", "$"), "|", "$"), "^", "$")</f>
        <v>HASH_?REF</v>
      </c>
      <c r="Q26"/>
      <c r="R26"/>
      <c r="S26"/>
      <c r="T26"/>
      <c r="U26"/>
      <c r="V26"/>
      <c r="X26"/>
    </row>
    <row r="27" spans="2:24" hidden="1" outlineLevel="1">
      <c r="B27" s="7">
        <f>IF( Table2[[#This Row],[target_lang]] = "noted", 1, 0)</f>
        <v>0</v>
      </c>
      <c r="C27" s="7">
        <f xml:space="preserve"> IF( Table2[[#This Row],[target_lang]] = "notedoc", 1, 0)</f>
        <v>1</v>
      </c>
      <c r="D27" s="10" t="s">
        <v>167</v>
      </c>
      <c r="E27" s="10" t="str">
        <f>IF( Table2[[#This Row],[label]] = "", "", IF( Table2[[#This Row],[origin]] = "notedoc",  Table2[[#This Row],[origin]],  "noted"))</f>
        <v>notedoc</v>
      </c>
      <c r="F27" s="18" t="s">
        <v>110</v>
      </c>
      <c r="G27" s="19" t="s">
        <v>144</v>
      </c>
      <c r="H27" s="20" t="s">
        <v>124</v>
      </c>
      <c r="I27" s="18" t="s">
        <v>226</v>
      </c>
      <c r="J27" s="22"/>
      <c r="K2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7" s="8" t="str">
        <f>"" &amp;  IF(Table2[[#This Row],[hasUnsafeRegex]] = 0, Table2[[#This Row],[regexTermInput]], "(?:" &amp; Table2[[#This Row],[regexTermInput]] &amp; ")")</f>
        <v>KEYS?</v>
      </c>
      <c r="M27" s="11">
        <f>IF( IFERROR( FIND("$", Table2[[#This Row],[unsafeRegexGuess]]), 0) &lt;=0, 0, 1)</f>
        <v>0</v>
      </c>
      <c r="N27" s="11">
        <f>IF( IFERROR( FIND("$", Table2[[#This Row],[anyRegexGuess]]), 0) &lt;=0, 0, 1)</f>
        <v>1</v>
      </c>
      <c r="O27" s="13" t="str">
        <f>SUBSTITUTE( SUBSTITUTE( SUBSTITUTE(SUBSTITUTE(Table2[[#This Row],[unsafeRegexGuess]], ")", "$"), "*", "$"), "+", "$"), "?", "$")</f>
        <v>KEYS$</v>
      </c>
      <c r="P27" s="13" t="str">
        <f xml:space="preserve"> SUBSTITUTE( SUBSTITUTE( SUBSTITUTE(Table2[[#This Row],[regexTermInput]], "(", "$"), "|", "$"), "^", "$")</f>
        <v>KEYS?</v>
      </c>
      <c r="Q27"/>
      <c r="R27"/>
      <c r="S27"/>
      <c r="T27"/>
      <c r="U27"/>
      <c r="V27"/>
      <c r="X27"/>
    </row>
    <row r="28" spans="2:24" ht="16" hidden="1" customHeight="1" outlineLevel="1">
      <c r="B28" s="7">
        <f>IF( Table2[[#This Row],[target_lang]] = "noted", 1, 0)</f>
        <v>0</v>
      </c>
      <c r="C28" s="7">
        <f xml:space="preserve"> IF( Table2[[#This Row],[target_lang]] = "notedoc", 1, 0)</f>
        <v>1</v>
      </c>
      <c r="D28" s="10" t="s">
        <v>167</v>
      </c>
      <c r="E28" s="10" t="str">
        <f>IF( Table2[[#This Row],[label]] = "", "", IF( Table2[[#This Row],[origin]] = "notedoc",  Table2[[#This Row],[origin]],  "noted"))</f>
        <v>notedoc</v>
      </c>
      <c r="F28" s="18" t="s">
        <v>110</v>
      </c>
      <c r="G28" s="19" t="s">
        <v>88</v>
      </c>
      <c r="H28" s="20" t="str">
        <f>Table2[[#This Row],[label]]</f>
        <v>OTHERWISE</v>
      </c>
      <c r="I28" s="18" t="s">
        <v>226</v>
      </c>
      <c r="J28" s="22"/>
      <c r="K2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8" s="8" t="str">
        <f>"" &amp;  IF(Table2[[#This Row],[hasUnsafeRegex]] = 0, Table2[[#This Row],[regexTermInput]], "(?:" &amp; Table2[[#This Row],[regexTermInput]] &amp; ")")</f>
        <v>OTHERWISE</v>
      </c>
      <c r="M28" s="11">
        <f>IF( IFERROR( FIND("$", Table2[[#This Row],[unsafeRegexGuess]]), 0) &lt;=0, 0, 1)</f>
        <v>0</v>
      </c>
      <c r="N28" s="11">
        <f>IF( IFERROR( FIND("$", Table2[[#This Row],[anyRegexGuess]]), 0) &lt;=0, 0, 1)</f>
        <v>0</v>
      </c>
      <c r="O28" s="13" t="str">
        <f>SUBSTITUTE( SUBSTITUTE( SUBSTITUTE(SUBSTITUTE(Table2[[#This Row],[unsafeRegexGuess]], ")", "$"), "*", "$"), "+", "$"), "?", "$")</f>
        <v>OTHERWISE</v>
      </c>
      <c r="P28" s="13" t="str">
        <f xml:space="preserve"> SUBSTITUTE( SUBSTITUTE( SUBSTITUTE(Table2[[#This Row],[regexTermInput]], "(", "$"), "|", "$"), "^", "$")</f>
        <v>OTHERWISE</v>
      </c>
      <c r="Q28"/>
      <c r="R28"/>
      <c r="S28"/>
      <c r="T28"/>
      <c r="U28"/>
      <c r="V28"/>
      <c r="X28"/>
    </row>
    <row r="29" spans="2:24" ht="16" hidden="1" customHeight="1" outlineLevel="1">
      <c r="B29" s="7">
        <f>IF( Table2[[#This Row],[target_lang]] = "noted", 1, 0)</f>
        <v>0</v>
      </c>
      <c r="C29" s="7">
        <f xml:space="preserve"> IF( Table2[[#This Row],[target_lang]] = "notedoc", 1, 0)</f>
        <v>1</v>
      </c>
      <c r="D29" s="10" t="s">
        <v>167</v>
      </c>
      <c r="E29" s="10" t="str">
        <f>IF( Table2[[#This Row],[label]] = "", "", IF( Table2[[#This Row],[origin]] = "notedoc",  Table2[[#This Row],[origin]],  "noted"))</f>
        <v>notedoc</v>
      </c>
      <c r="F29" s="18" t="s">
        <v>110</v>
      </c>
      <c r="G29" s="19" t="s">
        <v>142</v>
      </c>
      <c r="H29" s="20" t="s">
        <v>103</v>
      </c>
      <c r="I29" s="18" t="s">
        <v>226</v>
      </c>
      <c r="J29" s="22"/>
      <c r="K2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29" s="8" t="str">
        <f>"" &amp;  IF(Table2[[#This Row],[hasUnsafeRegex]] = 0, Table2[[#This Row],[regexTermInput]], "(?:" &amp; Table2[[#This Row],[regexTermInput]] &amp; ")")</f>
        <v>TYPES?</v>
      </c>
      <c r="M29" s="11">
        <f>IF( IFERROR( FIND("$", Table2[[#This Row],[unsafeRegexGuess]]), 0) &lt;=0, 0, 1)</f>
        <v>0</v>
      </c>
      <c r="N29" s="11">
        <f>IF( IFERROR( FIND("$", Table2[[#This Row],[anyRegexGuess]]), 0) &lt;=0, 0, 1)</f>
        <v>1</v>
      </c>
      <c r="O29" s="13" t="str">
        <f>SUBSTITUTE( SUBSTITUTE( SUBSTITUTE(SUBSTITUTE(Table2[[#This Row],[unsafeRegexGuess]], ")", "$"), "*", "$"), "+", "$"), "?", "$")</f>
        <v>TYPES$</v>
      </c>
      <c r="P29" s="13" t="str">
        <f xml:space="preserve"> SUBSTITUTE( SUBSTITUTE( SUBSTITUTE(Table2[[#This Row],[regexTermInput]], "(", "$"), "|", "$"), "^", "$")</f>
        <v>TYPES?</v>
      </c>
      <c r="Q29"/>
      <c r="R29"/>
      <c r="S29"/>
      <c r="T29"/>
      <c r="U29"/>
      <c r="V29"/>
      <c r="X29"/>
    </row>
    <row r="30" spans="2:24" ht="16" hidden="1" customHeight="1" outlineLevel="1">
      <c r="B30" s="7">
        <f>IF( Table2[[#This Row],[target_lang]] = "noted", 1, 0)</f>
        <v>0</v>
      </c>
      <c r="C30" s="7">
        <f xml:space="preserve"> IF( Table2[[#This Row],[target_lang]] = "notedoc", 1, 0)</f>
        <v>1</v>
      </c>
      <c r="D30" s="10" t="s">
        <v>167</v>
      </c>
      <c r="E30" s="10" t="str">
        <f>IF( Table2[[#This Row],[label]] = "", "", IF( Table2[[#This Row],[origin]] = "notedoc",  Table2[[#This Row],[origin]],  "noted"))</f>
        <v>notedoc</v>
      </c>
      <c r="F30" s="18" t="s">
        <v>110</v>
      </c>
      <c r="G30" s="19" t="s">
        <v>143</v>
      </c>
      <c r="H30" s="20" t="s">
        <v>125</v>
      </c>
      <c r="I30" s="18" t="s">
        <v>226</v>
      </c>
      <c r="J30" s="22"/>
      <c r="K3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storage.type.class.${1:/downcase}._noted-doc.gen._level-{{level}}._feeling-ok.text.notedoc</v>
      </c>
      <c r="L30" s="8" t="str">
        <f>"" &amp;  IF(Table2[[#This Row],[hasUnsafeRegex]] = 0, Table2[[#This Row],[regexTermInput]], "(?:" &amp; Table2[[#This Row],[regexTermInput]] &amp; ")")</f>
        <v>VALUES?</v>
      </c>
      <c r="M30" s="11">
        <f>IF( IFERROR( FIND("$", Table2[[#This Row],[unsafeRegexGuess]]), 0) &lt;=0, 0, 1)</f>
        <v>0</v>
      </c>
      <c r="N30" s="11">
        <f>IF( IFERROR( FIND("$", Table2[[#This Row],[anyRegexGuess]]), 0) &lt;=0, 0, 1)</f>
        <v>1</v>
      </c>
      <c r="O30" s="13" t="str">
        <f>SUBSTITUTE( SUBSTITUTE( SUBSTITUTE(SUBSTITUTE(Table2[[#This Row],[unsafeRegexGuess]], ")", "$"), "*", "$"), "+", "$"), "?", "$")</f>
        <v>VALUES$</v>
      </c>
      <c r="P30" s="13" t="str">
        <f xml:space="preserve"> SUBSTITUTE( SUBSTITUTE( SUBSTITUTE(Table2[[#This Row],[regexTermInput]], "(", "$"), "|", "$"), "^", "$")</f>
        <v>VALUES?</v>
      </c>
      <c r="Q30"/>
      <c r="R30"/>
      <c r="S30"/>
      <c r="T30"/>
      <c r="U30"/>
      <c r="V30"/>
      <c r="X30"/>
    </row>
    <row r="31" spans="2:24" ht="16" hidden="1" customHeight="1" outlineLevel="1">
      <c r="B31" s="7">
        <f>IF( Table2[[#This Row],[target_lang]] = "noted", 1, 0)</f>
        <v>0</v>
      </c>
      <c r="C31" s="7">
        <f xml:space="preserve"> IF( Table2[[#This Row],[target_lang]] = "notedoc", 1, 0)</f>
        <v>1</v>
      </c>
      <c r="D31" s="10" t="s">
        <v>167</v>
      </c>
      <c r="E31" s="10" t="str">
        <f>IF( Table2[[#This Row],[label]] = "", "", IF( Table2[[#This Row],[origin]] = "notedoc",  Table2[[#This Row],[origin]],  "noted"))</f>
        <v>notedoc</v>
      </c>
      <c r="F31" s="18" t="s">
        <v>89</v>
      </c>
      <c r="G31" s="19" t="s">
        <v>145</v>
      </c>
      <c r="H31" s="20" t="s">
        <v>108</v>
      </c>
      <c r="I31" s="18" t="s">
        <v>226</v>
      </c>
      <c r="J31" s="22"/>
      <c r="K3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1" s="8" t="str">
        <f>"" &amp;  IF(Table2[[#This Row],[hasUnsafeRegex]] = 0, Table2[[#This Row],[regexTermInput]], "(?:" &amp; Table2[[#This Row],[regexTermInput]] &amp; ")")</f>
        <v>(?:ATTR(?:IBUTE)?S?)</v>
      </c>
      <c r="M31" s="11">
        <f>IF( IFERROR( FIND("$", Table2[[#This Row],[unsafeRegexGuess]]), 0) &lt;=0, 0, 1)</f>
        <v>1</v>
      </c>
      <c r="N31" s="11">
        <f>IF( IFERROR( FIND("$", Table2[[#This Row],[anyRegexGuess]]), 0) &lt;=0, 0, 1)</f>
        <v>1</v>
      </c>
      <c r="O31" s="13" t="str">
        <f>SUBSTITUTE( SUBSTITUTE( SUBSTITUTE(SUBSTITUTE(Table2[[#This Row],[unsafeRegexGuess]], ")", "$"), "*", "$"), "+", "$"), "?", "$")</f>
        <v>ATTR$$:IBUTE$$S$</v>
      </c>
      <c r="P31" s="13" t="str">
        <f xml:space="preserve"> SUBSTITUTE( SUBSTITUTE( SUBSTITUTE(Table2[[#This Row],[regexTermInput]], "(", "$"), "|", "$"), "^", "$")</f>
        <v>ATTR$?:IBUTE)?S?</v>
      </c>
      <c r="Q31"/>
      <c r="R31"/>
      <c r="S31"/>
      <c r="T31"/>
      <c r="U31"/>
      <c r="V31"/>
      <c r="X31"/>
    </row>
    <row r="32" spans="2:24" ht="16" hidden="1" customHeight="1" outlineLevel="1">
      <c r="B32" s="7">
        <f>IF( Table2[[#This Row],[target_lang]] = "noted", 1, 0)</f>
        <v>0</v>
      </c>
      <c r="C32" s="7">
        <f xml:space="preserve"> IF( Table2[[#This Row],[target_lang]] = "notedoc", 1, 0)</f>
        <v>1</v>
      </c>
      <c r="D32" s="10" t="s">
        <v>167</v>
      </c>
      <c r="E32" s="10" t="str">
        <f>IF( Table2[[#This Row],[label]] = "", "", IF( Table2[[#This Row],[origin]] = "notedoc",  Table2[[#This Row],[origin]],  "noted"))</f>
        <v>notedoc</v>
      </c>
      <c r="F32" s="18" t="s">
        <v>89</v>
      </c>
      <c r="G32" s="19" t="s">
        <v>146</v>
      </c>
      <c r="H32" s="20" t="s">
        <v>102</v>
      </c>
      <c r="I32" s="18" t="s">
        <v>226</v>
      </c>
      <c r="J32" s="22"/>
      <c r="K3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2" s="8" t="str">
        <f>"" &amp;  IF(Table2[[#This Row],[hasUnsafeRegex]] = 0, Table2[[#This Row],[regexTermInput]], "(?:" &amp; Table2[[#This Row],[regexTermInput]] &amp; ")")</f>
        <v>(?:CLASS(?:ES)?)</v>
      </c>
      <c r="M32" s="11">
        <f>IF( IFERROR( FIND("$", Table2[[#This Row],[unsafeRegexGuess]]), 0) &lt;=0, 0, 1)</f>
        <v>1</v>
      </c>
      <c r="N32" s="11">
        <f>IF( IFERROR( FIND("$", Table2[[#This Row],[anyRegexGuess]]), 0) &lt;=0, 0, 1)</f>
        <v>1</v>
      </c>
      <c r="O32" s="13" t="str">
        <f>SUBSTITUTE( SUBSTITUTE( SUBSTITUTE(SUBSTITUTE(Table2[[#This Row],[unsafeRegexGuess]], ")", "$"), "*", "$"), "+", "$"), "?", "$")</f>
        <v>CLASS$$:ES$$</v>
      </c>
      <c r="P32" s="13" t="str">
        <f xml:space="preserve"> SUBSTITUTE( SUBSTITUTE( SUBSTITUTE(Table2[[#This Row],[regexTermInput]], "(", "$"), "|", "$"), "^", "$")</f>
        <v>CLASS$?:ES)?</v>
      </c>
      <c r="Q32"/>
      <c r="R32"/>
      <c r="S32"/>
      <c r="T32"/>
      <c r="U32"/>
      <c r="V32"/>
      <c r="X32"/>
    </row>
    <row r="33" spans="2:24" ht="16" hidden="1" customHeight="1" outlineLevel="1">
      <c r="B33" s="7">
        <f>IF( Table2[[#This Row],[target_lang]] = "noted", 1, 0)</f>
        <v>0</v>
      </c>
      <c r="C33" s="7">
        <f xml:space="preserve"> IF( Table2[[#This Row],[target_lang]] = "notedoc", 1, 0)</f>
        <v>1</v>
      </c>
      <c r="D33" s="10" t="s">
        <v>167</v>
      </c>
      <c r="E33" s="10" t="str">
        <f>IF( Table2[[#This Row],[label]] = "", "", IF( Table2[[#This Row],[origin]] = "notedoc",  Table2[[#This Row],[origin]],  "noted"))</f>
        <v>notedoc</v>
      </c>
      <c r="F33" s="18" t="s">
        <v>89</v>
      </c>
      <c r="G33" s="19" t="s">
        <v>147</v>
      </c>
      <c r="H33" s="20" t="s">
        <v>99</v>
      </c>
      <c r="I33" s="18" t="s">
        <v>226</v>
      </c>
      <c r="J33" s="22"/>
      <c r="K3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3" s="8" t="str">
        <f>"" &amp;  IF(Table2[[#This Row],[hasUnsafeRegex]] = 0, Table2[[#This Row],[regexTermInput]], "(?:" &amp; Table2[[#This Row],[regexTermInput]] &amp; ")")</f>
        <v>INTERFACES?</v>
      </c>
      <c r="M33" s="11">
        <f>IF( IFERROR( FIND("$", Table2[[#This Row],[unsafeRegexGuess]]), 0) &lt;=0, 0, 1)</f>
        <v>0</v>
      </c>
      <c r="N33" s="11">
        <f>IF( IFERROR( FIND("$", Table2[[#This Row],[anyRegexGuess]]), 0) &lt;=0, 0, 1)</f>
        <v>1</v>
      </c>
      <c r="O33" s="13" t="str">
        <f>SUBSTITUTE( SUBSTITUTE( SUBSTITUTE(SUBSTITUTE(Table2[[#This Row],[unsafeRegexGuess]], ")", "$"), "*", "$"), "+", "$"), "?", "$")</f>
        <v>INTERFACES$</v>
      </c>
      <c r="P33" s="13" t="str">
        <f xml:space="preserve"> SUBSTITUTE( SUBSTITUTE( SUBSTITUTE(Table2[[#This Row],[regexTermInput]], "(", "$"), "|", "$"), "^", "$")</f>
        <v>INTERFACES?</v>
      </c>
      <c r="Q33"/>
      <c r="R33"/>
      <c r="S33"/>
      <c r="T33"/>
      <c r="U33"/>
      <c r="V33"/>
      <c r="X33"/>
    </row>
    <row r="34" spans="2:24" ht="16" hidden="1" customHeight="1" outlineLevel="1">
      <c r="B34" s="7">
        <f>IF( Table2[[#This Row],[target_lang]] = "noted", 1, 0)</f>
        <v>0</v>
      </c>
      <c r="C34" s="7">
        <f xml:space="preserve"> IF( Table2[[#This Row],[target_lang]] = "notedoc", 1, 0)</f>
        <v>1</v>
      </c>
      <c r="D34" s="10" t="s">
        <v>167</v>
      </c>
      <c r="E34" s="10" t="str">
        <f>IF( Table2[[#This Row],[label]] = "", "", IF( Table2[[#This Row],[origin]] = "notedoc",  Table2[[#This Row],[origin]],  "noted"))</f>
        <v>notedoc</v>
      </c>
      <c r="F34" s="18" t="s">
        <v>89</v>
      </c>
      <c r="G34" s="19" t="s">
        <v>148</v>
      </c>
      <c r="H34" s="20" t="s">
        <v>101</v>
      </c>
      <c r="I34" s="18" t="s">
        <v>226</v>
      </c>
      <c r="J34" s="22"/>
      <c r="K3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4" s="8" t="str">
        <f>"" &amp;  IF(Table2[[#This Row],[hasUnsafeRegex]] = 0, Table2[[#This Row],[regexTermInput]], "(?:" &amp; Table2[[#This Row],[regexTermInput]] &amp; ")")</f>
        <v>OBJECTS?</v>
      </c>
      <c r="M34" s="11">
        <f>IF( IFERROR( FIND("$", Table2[[#This Row],[unsafeRegexGuess]]), 0) &lt;=0, 0, 1)</f>
        <v>0</v>
      </c>
      <c r="N34" s="11">
        <f>IF( IFERROR( FIND("$", Table2[[#This Row],[anyRegexGuess]]), 0) &lt;=0, 0, 1)</f>
        <v>1</v>
      </c>
      <c r="O34" s="13" t="str">
        <f>SUBSTITUTE( SUBSTITUTE( SUBSTITUTE(SUBSTITUTE(Table2[[#This Row],[unsafeRegexGuess]], ")", "$"), "*", "$"), "+", "$"), "?", "$")</f>
        <v>OBJECTS$</v>
      </c>
      <c r="P34" s="13" t="str">
        <f xml:space="preserve"> SUBSTITUTE( SUBSTITUTE( SUBSTITUTE(Table2[[#This Row],[regexTermInput]], "(", "$"), "|", "$"), "^", "$")</f>
        <v>OBJECTS?</v>
      </c>
      <c r="Q34"/>
      <c r="R34"/>
      <c r="S34"/>
      <c r="T34"/>
      <c r="U34"/>
      <c r="V34"/>
      <c r="X34"/>
    </row>
    <row r="35" spans="2:24" ht="16" hidden="1" customHeight="1" outlineLevel="1">
      <c r="B35" s="7">
        <f>IF( Table2[[#This Row],[target_lang]] = "noted", 1, 0)</f>
        <v>0</v>
      </c>
      <c r="C35" s="7">
        <f xml:space="preserve"> IF( Table2[[#This Row],[target_lang]] = "notedoc", 1, 0)</f>
        <v>1</v>
      </c>
      <c r="D35" s="10" t="s">
        <v>167</v>
      </c>
      <c r="E35" s="10" t="str">
        <f>IF( Table2[[#This Row],[label]] = "", "", IF( Table2[[#This Row],[origin]] = "notedoc",  Table2[[#This Row],[origin]],  "noted"))</f>
        <v>notedoc</v>
      </c>
      <c r="F35" s="18" t="s">
        <v>89</v>
      </c>
      <c r="G35" s="19" t="s">
        <v>149</v>
      </c>
      <c r="H35" s="20" t="s">
        <v>170</v>
      </c>
      <c r="I35" s="18" t="s">
        <v>226</v>
      </c>
      <c r="J35" s="22"/>
      <c r="K3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5" s="8" t="str">
        <f>"" &amp;  IF(Table2[[#This Row],[hasUnsafeRegex]] = 0, Table2[[#This Row],[regexTermInput]], "(?:" &amp; Table2[[#This Row],[regexTermInput]] &amp; ")")</f>
        <v>(?:PROPS?|PROPERT(?:Y|IES)?)</v>
      </c>
      <c r="M35" s="11">
        <f>IF( IFERROR( FIND("$", Table2[[#This Row],[unsafeRegexGuess]]), 0) &lt;=0, 0, 1)</f>
        <v>1</v>
      </c>
      <c r="N35" s="11">
        <f>IF( IFERROR( FIND("$", Table2[[#This Row],[anyRegexGuess]]), 0) &lt;=0, 0, 1)</f>
        <v>1</v>
      </c>
      <c r="O35" s="13" t="str">
        <f>SUBSTITUTE( SUBSTITUTE( SUBSTITUTE(SUBSTITUTE(Table2[[#This Row],[unsafeRegexGuess]], ")", "$"), "*", "$"), "+", "$"), "?", "$")</f>
        <v>PROPS$$PROPERT$$:Y$IES$$</v>
      </c>
      <c r="P35" s="13" t="str">
        <f xml:space="preserve"> SUBSTITUTE( SUBSTITUTE( SUBSTITUTE(Table2[[#This Row],[regexTermInput]], "(", "$"), "|", "$"), "^", "$")</f>
        <v>PROPS?$PROPERT$?:Y$IES)?</v>
      </c>
      <c r="Q35"/>
      <c r="R35"/>
      <c r="S35"/>
      <c r="T35"/>
      <c r="U35"/>
      <c r="V35"/>
      <c r="X35"/>
    </row>
    <row r="36" spans="2:24" ht="16" hidden="1" customHeight="1" outlineLevel="1">
      <c r="B36" s="7">
        <f>IF( Table2[[#This Row],[target_lang]] = "noted", 1, 0)</f>
        <v>0</v>
      </c>
      <c r="C36" s="7">
        <f xml:space="preserve"> IF( Table2[[#This Row],[target_lang]] = "notedoc", 1, 0)</f>
        <v>1</v>
      </c>
      <c r="D36" s="10" t="s">
        <v>167</v>
      </c>
      <c r="E36" s="10" t="str">
        <f>IF( Table2[[#This Row],[label]] = "", "", IF( Table2[[#This Row],[origin]] = "notedoc",  Table2[[#This Row],[origin]],  "noted"))</f>
        <v>notedoc</v>
      </c>
      <c r="F36" s="18" t="s">
        <v>89</v>
      </c>
      <c r="G36" s="19" t="s">
        <v>150</v>
      </c>
      <c r="H36" s="20" t="s">
        <v>100</v>
      </c>
      <c r="I36" s="18" t="s">
        <v>226</v>
      </c>
      <c r="J36" s="22"/>
      <c r="K3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6" s="8" t="str">
        <f>"" &amp;  IF(Table2[[#This Row],[hasUnsafeRegex]] = 0, Table2[[#This Row],[regexTermInput]], "(?:" &amp; Table2[[#This Row],[regexTermInput]] &amp; ")")</f>
        <v>ROLES?</v>
      </c>
      <c r="M36" s="11">
        <f>IF( IFERROR( FIND("$", Table2[[#This Row],[unsafeRegexGuess]]), 0) &lt;=0, 0, 1)</f>
        <v>0</v>
      </c>
      <c r="N36" s="11">
        <f>IF( IFERROR( FIND("$", Table2[[#This Row],[anyRegexGuess]]), 0) &lt;=0, 0, 1)</f>
        <v>1</v>
      </c>
      <c r="O36" s="13" t="str">
        <f>SUBSTITUTE( SUBSTITUTE( SUBSTITUTE(SUBSTITUTE(Table2[[#This Row],[unsafeRegexGuess]], ")", "$"), "*", "$"), "+", "$"), "?", "$")</f>
        <v>ROLES$</v>
      </c>
      <c r="P36" s="13" t="str">
        <f xml:space="preserve"> SUBSTITUTE( SUBSTITUTE( SUBSTITUTE(Table2[[#This Row],[regexTermInput]], "(", "$"), "|", "$"), "^", "$")</f>
        <v>ROLES?</v>
      </c>
      <c r="Q36"/>
      <c r="R36"/>
      <c r="S36"/>
      <c r="T36"/>
      <c r="U36"/>
      <c r="V36"/>
      <c r="X36"/>
    </row>
    <row r="37" spans="2:24" ht="16" hidden="1" customHeight="1" outlineLevel="1">
      <c r="B37" s="7">
        <f>IF( Table2[[#This Row],[target_lang]] = "noted", 1, 0)</f>
        <v>0</v>
      </c>
      <c r="C37" s="7">
        <f xml:space="preserve"> IF( Table2[[#This Row],[target_lang]] = "notedoc", 1, 0)</f>
        <v>1</v>
      </c>
      <c r="D37" s="10" t="s">
        <v>167</v>
      </c>
      <c r="E37" s="10" t="str">
        <f>IF( Table2[[#This Row],[label]] = "", "", IF( Table2[[#This Row],[origin]] = "notedoc",  Table2[[#This Row],[origin]],  "noted"))</f>
        <v>notedoc</v>
      </c>
      <c r="F37" s="18" t="s">
        <v>89</v>
      </c>
      <c r="G37" s="19" t="s">
        <v>151</v>
      </c>
      <c r="H37" s="20" t="s">
        <v>109</v>
      </c>
      <c r="I37" s="18" t="s">
        <v>226</v>
      </c>
      <c r="J37" s="22"/>
      <c r="K3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storage.type.class.${1:/downcase}._noted-doc.oo._level-{{level}}._feeling-ok.text.notedoc</v>
      </c>
      <c r="L37" s="8" t="str">
        <f>"" &amp;  IF(Table2[[#This Row],[hasUnsafeRegex]] = 0, Table2[[#This Row],[regexTermInput]], "(?:" &amp; Table2[[#This Row],[regexTermInput]] &amp; ")")</f>
        <v>SLOTS?</v>
      </c>
      <c r="M37" s="11">
        <f>IF( IFERROR( FIND("$", Table2[[#This Row],[unsafeRegexGuess]]), 0) &lt;=0, 0, 1)</f>
        <v>0</v>
      </c>
      <c r="N37" s="11">
        <f>IF( IFERROR( FIND("$", Table2[[#This Row],[anyRegexGuess]]), 0) &lt;=0, 0, 1)</f>
        <v>1</v>
      </c>
      <c r="O37" s="13" t="str">
        <f>SUBSTITUTE( SUBSTITUTE( SUBSTITUTE(SUBSTITUTE(Table2[[#This Row],[unsafeRegexGuess]], ")", "$"), "*", "$"), "+", "$"), "?", "$")</f>
        <v>SLOTS$</v>
      </c>
      <c r="P37" s="13" t="str">
        <f xml:space="preserve"> SUBSTITUTE( SUBSTITUTE( SUBSTITUTE(Table2[[#This Row],[regexTermInput]], "(", "$"), "|", "$"), "^", "$")</f>
        <v>SLOTS?</v>
      </c>
      <c r="Q37"/>
      <c r="R37"/>
      <c r="S37"/>
      <c r="T37"/>
      <c r="U37"/>
      <c r="V37"/>
      <c r="X37"/>
    </row>
    <row r="38" spans="2:24" ht="16" hidden="1" customHeight="1" outlineLevel="2">
      <c r="B38" s="25">
        <f>IF( Table2[[#This Row],[target_lang]] = "noted", 1, 0)</f>
        <v>0</v>
      </c>
      <c r="C38" s="25">
        <f xml:space="preserve"> IF( Table2[[#This Row],[target_lang]] = "notedoc", 1, 0)</f>
        <v>1</v>
      </c>
      <c r="D38" s="10" t="s">
        <v>167</v>
      </c>
      <c r="E38" s="10" t="s">
        <v>167</v>
      </c>
      <c r="F38" s="18" t="s">
        <v>230</v>
      </c>
      <c r="G38" s="19"/>
      <c r="H38" s="20"/>
      <c r="I38" s="18"/>
      <c r="J38" s="26"/>
      <c r="K3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38" s="27" t="str">
        <f>"" &amp;  IF(Table2[[#This Row],[hasUnsafeRegex]] = 0, Table2[[#This Row],[regexTermInput]], "(?:" &amp; Table2[[#This Row],[regexTermInput]] &amp; ")")</f>
        <v/>
      </c>
      <c r="M38" s="28">
        <f>IF( IFERROR( FIND("$", Table2[[#This Row],[unsafeRegexGuess]]), 0) &lt;=0, 0, 1)</f>
        <v>0</v>
      </c>
      <c r="N38" s="28">
        <f>IF( IFERROR( FIND("$", Table2[[#This Row],[anyRegexGuess]]), 0) &lt;=0, 0, 1)</f>
        <v>0</v>
      </c>
      <c r="O38" s="29" t="str">
        <f>SUBSTITUTE( SUBSTITUTE( SUBSTITUTE(SUBSTITUTE(Table2[[#This Row],[unsafeRegexGuess]], ")", "$"), "*", "$"), "+", "$"), "?", "$")</f>
        <v/>
      </c>
      <c r="P38" s="29" t="str">
        <f xml:space="preserve"> SUBSTITUTE( SUBSTITUTE( SUBSTITUTE(Table2[[#This Row],[regexTermInput]], "(", "$"), "|", "$"), "^", "$")</f>
        <v/>
      </c>
      <c r="Q38"/>
      <c r="R38"/>
      <c r="S38"/>
      <c r="T38"/>
      <c r="U38"/>
      <c r="V38"/>
      <c r="X38"/>
    </row>
    <row r="39" spans="2:24" ht="16" hidden="1" customHeight="1" outlineLevel="2">
      <c r="B39" s="25">
        <f>IF( Table2[[#This Row],[target_lang]] = "noted", 1, 0)</f>
        <v>0</v>
      </c>
      <c r="C39" s="25">
        <f xml:space="preserve"> IF( Table2[[#This Row],[target_lang]] = "notedoc", 1, 0)</f>
        <v>1</v>
      </c>
      <c r="D39" s="10" t="s">
        <v>167</v>
      </c>
      <c r="E39" s="10" t="s">
        <v>167</v>
      </c>
      <c r="F39" s="18" t="s">
        <v>230</v>
      </c>
      <c r="G39" s="19" t="s">
        <v>194</v>
      </c>
      <c r="H39" s="20" t="s">
        <v>195</v>
      </c>
      <c r="I39" s="18" t="s">
        <v>226</v>
      </c>
      <c r="J39" s="26"/>
      <c r="K3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39" s="27" t="str">
        <f>"" &amp;  IF(Table2[[#This Row],[hasUnsafeRegex]] = 0, Table2[[#This Row],[regexTermInput]], "(?:" &amp; Table2[[#This Row],[regexTermInput]] &amp; ")")</f>
        <v>(?:BINS?|BINAR(?:Y|IES))</v>
      </c>
      <c r="M39" s="28">
        <f>IF( IFERROR( FIND("$", Table2[[#This Row],[unsafeRegexGuess]]), 0) &lt;=0, 0, 1)</f>
        <v>1</v>
      </c>
      <c r="N39" s="28">
        <f>IF( IFERROR( FIND("$", Table2[[#This Row],[anyRegexGuess]]), 0) &lt;=0, 0, 1)</f>
        <v>1</v>
      </c>
      <c r="O39" s="29" t="str">
        <f>SUBSTITUTE( SUBSTITUTE( SUBSTITUTE(SUBSTITUTE(Table2[[#This Row],[unsafeRegexGuess]], ")", "$"), "*", "$"), "+", "$"), "?", "$")</f>
        <v>BINS$$BINAR$$:Y$IES$</v>
      </c>
      <c r="P39" s="29" t="str">
        <f xml:space="preserve"> SUBSTITUTE( SUBSTITUTE( SUBSTITUTE(Table2[[#This Row],[regexTermInput]], "(", "$"), "|", "$"), "^", "$")</f>
        <v>BINS?$BINAR$?:Y$IES)</v>
      </c>
      <c r="Q39"/>
      <c r="R39"/>
      <c r="S39"/>
      <c r="T39"/>
      <c r="U39"/>
      <c r="V39"/>
      <c r="X39"/>
    </row>
    <row r="40" spans="2:24" ht="16" hidden="1" customHeight="1" outlineLevel="2">
      <c r="B40" s="25">
        <f>IF( Table2[[#This Row],[target_lang]] = "noted", 1, 0)</f>
        <v>0</v>
      </c>
      <c r="C40" s="25">
        <f xml:space="preserve"> IF( Table2[[#This Row],[target_lang]] = "notedoc", 1, 0)</f>
        <v>1</v>
      </c>
      <c r="D40" s="10" t="s">
        <v>167</v>
      </c>
      <c r="E40" s="10" t="s">
        <v>167</v>
      </c>
      <c r="F40" s="18" t="s">
        <v>230</v>
      </c>
      <c r="G40" s="19" t="s">
        <v>198</v>
      </c>
      <c r="H40" s="20" t="str">
        <f>Table2[[#This Row],[label]]</f>
        <v>CLI</v>
      </c>
      <c r="I40" s="18" t="s">
        <v>226</v>
      </c>
      <c r="J40" s="26"/>
      <c r="K4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0" s="27" t="str">
        <f>"" &amp;  IF(Table2[[#This Row],[hasUnsafeRegex]] = 0, Table2[[#This Row],[regexTermInput]], "(?:" &amp; Table2[[#This Row],[regexTermInput]] &amp; ")")</f>
        <v>CLI</v>
      </c>
      <c r="M40" s="28">
        <f>IF( IFERROR( FIND("$", Table2[[#This Row],[unsafeRegexGuess]]), 0) &lt;=0, 0, 1)</f>
        <v>0</v>
      </c>
      <c r="N40" s="28">
        <f>IF( IFERROR( FIND("$", Table2[[#This Row],[anyRegexGuess]]), 0) &lt;=0, 0, 1)</f>
        <v>0</v>
      </c>
      <c r="O40" s="29" t="str">
        <f>SUBSTITUTE( SUBSTITUTE( SUBSTITUTE(SUBSTITUTE(Table2[[#This Row],[unsafeRegexGuess]], ")", "$"), "*", "$"), "+", "$"), "?", "$")</f>
        <v>CLI</v>
      </c>
      <c r="P40" s="29" t="str">
        <f xml:space="preserve"> SUBSTITUTE( SUBSTITUTE( SUBSTITUTE(Table2[[#This Row],[regexTermInput]], "(", "$"), "|", "$"), "^", "$")</f>
        <v>CLI</v>
      </c>
      <c r="Q40"/>
      <c r="R40"/>
      <c r="S40"/>
      <c r="T40"/>
      <c r="U40"/>
      <c r="V40"/>
      <c r="X40"/>
    </row>
    <row r="41" spans="2:24" ht="16" hidden="1" customHeight="1" outlineLevel="2">
      <c r="B41" s="25">
        <f>IF( Table2[[#This Row],[target_lang]] = "noted", 1, 0)</f>
        <v>0</v>
      </c>
      <c r="C41" s="25">
        <f xml:space="preserve"> IF( Table2[[#This Row],[target_lang]] = "notedoc", 1, 0)</f>
        <v>1</v>
      </c>
      <c r="D41" s="10" t="s">
        <v>167</v>
      </c>
      <c r="E41" s="10" t="s">
        <v>167</v>
      </c>
      <c r="F41" s="18" t="s">
        <v>230</v>
      </c>
      <c r="G41" s="19" t="s">
        <v>196</v>
      </c>
      <c r="H41" s="20" t="s">
        <v>197</v>
      </c>
      <c r="I41" s="18" t="s">
        <v>226</v>
      </c>
      <c r="J41" s="26"/>
      <c r="K4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1" s="27" t="str">
        <f>"" &amp;  IF(Table2[[#This Row],[hasUnsafeRegex]] = 0, Table2[[#This Row],[regexTermInput]], "(?:" &amp; Table2[[#This Row],[regexTermInput]] &amp; ")")</f>
        <v>(?:CMDS?|COMMANDS?)</v>
      </c>
      <c r="M41" s="28">
        <f>IF( IFERROR( FIND("$", Table2[[#This Row],[unsafeRegexGuess]]), 0) &lt;=0, 0, 1)</f>
        <v>1</v>
      </c>
      <c r="N41" s="28">
        <f>IF( IFERROR( FIND("$", Table2[[#This Row],[anyRegexGuess]]), 0) &lt;=0, 0, 1)</f>
        <v>1</v>
      </c>
      <c r="O41" s="29" t="str">
        <f>SUBSTITUTE( SUBSTITUTE( SUBSTITUTE(SUBSTITUTE(Table2[[#This Row],[unsafeRegexGuess]], ")", "$"), "*", "$"), "+", "$"), "?", "$")</f>
        <v>CMDS$$COMMANDS$</v>
      </c>
      <c r="P41" s="29" t="str">
        <f xml:space="preserve"> SUBSTITUTE( SUBSTITUTE( SUBSTITUTE(Table2[[#This Row],[regexTermInput]], "(", "$"), "|", "$"), "^", "$")</f>
        <v>CMDS?$COMMANDS?</v>
      </c>
      <c r="Q41"/>
      <c r="R41"/>
      <c r="S41"/>
      <c r="T41"/>
      <c r="U41"/>
      <c r="V41"/>
      <c r="X41"/>
    </row>
    <row r="42" spans="2:24" ht="16" hidden="1" customHeight="1" outlineLevel="2">
      <c r="B42" s="25">
        <f>IF( Table2[[#This Row],[target_lang]] = "noted", 1, 0)</f>
        <v>0</v>
      </c>
      <c r="C42" s="25">
        <f xml:space="preserve"> IF( Table2[[#This Row],[target_lang]] = "notedoc", 1, 0)</f>
        <v>1</v>
      </c>
      <c r="D42" s="10" t="s">
        <v>167</v>
      </c>
      <c r="E42" s="10" t="s">
        <v>167</v>
      </c>
      <c r="F42" s="18" t="s">
        <v>230</v>
      </c>
      <c r="G42" s="19" t="s">
        <v>191</v>
      </c>
      <c r="H42" s="20" t="s">
        <v>192</v>
      </c>
      <c r="I42" s="18" t="s">
        <v>226</v>
      </c>
      <c r="J42" s="26"/>
      <c r="K4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2" s="27" t="str">
        <f>"" &amp;  IF(Table2[[#This Row],[hasUnsafeRegex]] = 0, Table2[[#This Row],[regexTermInput]], "(?:" &amp; Table2[[#This Row],[regexTermInput]] &amp; ")")</f>
        <v>(?:EXE(?:CUTABLE)S?)</v>
      </c>
      <c r="M42" s="28">
        <f>IF( IFERROR( FIND("$", Table2[[#This Row],[unsafeRegexGuess]]), 0) &lt;=0, 0, 1)</f>
        <v>1</v>
      </c>
      <c r="N42" s="28">
        <f>IF( IFERROR( FIND("$", Table2[[#This Row],[anyRegexGuess]]), 0) &lt;=0, 0, 1)</f>
        <v>1</v>
      </c>
      <c r="O42" s="29" t="str">
        <f>SUBSTITUTE( SUBSTITUTE( SUBSTITUTE(SUBSTITUTE(Table2[[#This Row],[unsafeRegexGuess]], ")", "$"), "*", "$"), "+", "$"), "?", "$")</f>
        <v>EXE$$:CUTABLE$S$</v>
      </c>
      <c r="P42" s="29" t="str">
        <f xml:space="preserve"> SUBSTITUTE( SUBSTITUTE( SUBSTITUTE(Table2[[#This Row],[regexTermInput]], "(", "$"), "|", "$"), "^", "$")</f>
        <v>EXE$?:CUTABLE)S?</v>
      </c>
      <c r="Q42"/>
      <c r="R42"/>
      <c r="S42"/>
      <c r="T42"/>
      <c r="U42"/>
      <c r="V42"/>
      <c r="X42"/>
    </row>
    <row r="43" spans="2:24" ht="16" hidden="1" customHeight="1" outlineLevel="2">
      <c r="B43" s="25">
        <f>IF( Table2[[#This Row],[target_lang]] = "noted", 1, 0)</f>
        <v>0</v>
      </c>
      <c r="C43" s="25">
        <f xml:space="preserve"> IF( Table2[[#This Row],[target_lang]] = "notedoc", 1, 0)</f>
        <v>1</v>
      </c>
      <c r="D43" s="10" t="s">
        <v>167</v>
      </c>
      <c r="E43" s="10" t="s">
        <v>167</v>
      </c>
      <c r="F43" s="18" t="s">
        <v>230</v>
      </c>
      <c r="G43" s="19" t="s">
        <v>189</v>
      </c>
      <c r="H43" s="20" t="str">
        <f>Table2[[#This Row],[label]]</f>
        <v>MAIN</v>
      </c>
      <c r="I43" s="18" t="s">
        <v>226</v>
      </c>
      <c r="J43" s="26"/>
      <c r="K4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3" s="27" t="str">
        <f>"" &amp;  IF(Table2[[#This Row],[hasUnsafeRegex]] = 0, Table2[[#This Row],[regexTermInput]], "(?:" &amp; Table2[[#This Row],[regexTermInput]] &amp; ")")</f>
        <v>MAIN</v>
      </c>
      <c r="M43" s="28">
        <f>IF( IFERROR( FIND("$", Table2[[#This Row],[unsafeRegexGuess]]), 0) &lt;=0, 0, 1)</f>
        <v>0</v>
      </c>
      <c r="N43" s="28">
        <f>IF( IFERROR( FIND("$", Table2[[#This Row],[anyRegexGuess]]), 0) &lt;=0, 0, 1)</f>
        <v>0</v>
      </c>
      <c r="O43" s="29" t="str">
        <f>SUBSTITUTE( SUBSTITUTE( SUBSTITUTE(SUBSTITUTE(Table2[[#This Row],[unsafeRegexGuess]], ")", "$"), "*", "$"), "+", "$"), "?", "$")</f>
        <v>MAIN</v>
      </c>
      <c r="P43" s="29" t="str">
        <f xml:space="preserve"> SUBSTITUTE( SUBSTITUTE( SUBSTITUTE(Table2[[#This Row],[regexTermInput]], "(", "$"), "|", "$"), "^", "$")</f>
        <v>MAIN</v>
      </c>
      <c r="Q43"/>
      <c r="R43"/>
      <c r="S43"/>
      <c r="T43"/>
      <c r="U43"/>
      <c r="V43"/>
      <c r="X43"/>
    </row>
    <row r="44" spans="2:24" ht="16" hidden="1" customHeight="1" outlineLevel="2">
      <c r="B44" s="25">
        <f>IF( Table2[[#This Row],[target_lang]] = "noted", 1, 0)</f>
        <v>0</v>
      </c>
      <c r="C44" s="25">
        <f xml:space="preserve"> IF( Table2[[#This Row],[target_lang]] = "notedoc", 1, 0)</f>
        <v>1</v>
      </c>
      <c r="D44" s="10" t="s">
        <v>167</v>
      </c>
      <c r="E44" s="10" t="s">
        <v>167</v>
      </c>
      <c r="F44" s="18" t="s">
        <v>230</v>
      </c>
      <c r="G44" s="19" t="s">
        <v>187</v>
      </c>
      <c r="H44" s="20" t="s">
        <v>188</v>
      </c>
      <c r="I44" s="18" t="s">
        <v>226</v>
      </c>
      <c r="J44" s="26"/>
      <c r="K4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4" s="27" t="str">
        <f>"" &amp;  IF(Table2[[#This Row],[hasUnsafeRegex]] = 0, Table2[[#This Row],[regexTermInput]], "(?:" &amp; Table2[[#This Row],[regexTermInput]] &amp; ")")</f>
        <v>(?:PRGS?|PROG(?:RAMM?E?)S?)</v>
      </c>
      <c r="M44" s="28">
        <f>IF( IFERROR( FIND("$", Table2[[#This Row],[unsafeRegexGuess]]), 0) &lt;=0, 0, 1)</f>
        <v>1</v>
      </c>
      <c r="N44" s="28">
        <f>IF( IFERROR( FIND("$", Table2[[#This Row],[anyRegexGuess]]), 0) &lt;=0, 0, 1)</f>
        <v>1</v>
      </c>
      <c r="O44" s="29" t="str">
        <f>SUBSTITUTE( SUBSTITUTE( SUBSTITUTE(SUBSTITUTE(Table2[[#This Row],[unsafeRegexGuess]], ")", "$"), "*", "$"), "+", "$"), "?", "$")</f>
        <v>PRGS$$PROG$$:RAMM$E$$S$</v>
      </c>
      <c r="P44" s="29" t="str">
        <f xml:space="preserve"> SUBSTITUTE( SUBSTITUTE( SUBSTITUTE(Table2[[#This Row],[regexTermInput]], "(", "$"), "|", "$"), "^", "$")</f>
        <v>PRGS?$PROG$?:RAMM?E?)S?</v>
      </c>
      <c r="Q44"/>
      <c r="R44"/>
      <c r="S44"/>
      <c r="T44"/>
      <c r="U44"/>
      <c r="V44"/>
      <c r="X44"/>
    </row>
    <row r="45" spans="2:24" ht="16" hidden="1" customHeight="1" outlineLevel="2">
      <c r="B45" s="25">
        <f>IF( Table2[[#This Row],[target_lang]] = "noted", 1, 0)</f>
        <v>0</v>
      </c>
      <c r="C45" s="25">
        <f xml:space="preserve"> IF( Table2[[#This Row],[target_lang]] = "notedoc", 1, 0)</f>
        <v>1</v>
      </c>
      <c r="D45" s="10" t="s">
        <v>167</v>
      </c>
      <c r="E45" s="10" t="s">
        <v>167</v>
      </c>
      <c r="F45" s="18" t="s">
        <v>230</v>
      </c>
      <c r="G45" s="19" t="s">
        <v>190</v>
      </c>
      <c r="H45" s="20" t="s">
        <v>193</v>
      </c>
      <c r="I45" s="18" t="s">
        <v>226</v>
      </c>
      <c r="J45" s="26"/>
      <c r="K4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storage.type.class.${1:/downcase}._noted-doc.prg._level-{{level}}._feeling-ok.text.notedoc</v>
      </c>
      <c r="L45" s="27" t="str">
        <f>"" &amp;  IF(Table2[[#This Row],[hasUnsafeRegex]] = 0, Table2[[#This Row],[regexTermInput]], "(?:" &amp; Table2[[#This Row],[regexTermInput]] &amp; ")")</f>
        <v>SCRIPTS?</v>
      </c>
      <c r="M45" s="28">
        <f>IF( IFERROR( FIND("$", Table2[[#This Row],[unsafeRegexGuess]]), 0) &lt;=0, 0, 1)</f>
        <v>0</v>
      </c>
      <c r="N45" s="28">
        <f>IF( IFERROR( FIND("$", Table2[[#This Row],[anyRegexGuess]]), 0) &lt;=0, 0, 1)</f>
        <v>1</v>
      </c>
      <c r="O45" s="29" t="str">
        <f>SUBSTITUTE( SUBSTITUTE( SUBSTITUTE(SUBSTITUTE(Table2[[#This Row],[unsafeRegexGuess]], ")", "$"), "*", "$"), "+", "$"), "?", "$")</f>
        <v>SCRIPTS$</v>
      </c>
      <c r="P45" s="29" t="str">
        <f xml:space="preserve"> SUBSTITUTE( SUBSTITUTE( SUBSTITUTE(Table2[[#This Row],[regexTermInput]], "(", "$"), "|", "$"), "^", "$")</f>
        <v>SCRIPTS?</v>
      </c>
      <c r="Q45"/>
      <c r="R45"/>
      <c r="S45"/>
      <c r="T45"/>
      <c r="U45"/>
      <c r="V45"/>
      <c r="X45"/>
    </row>
    <row r="46" spans="2:24" ht="16" hidden="1" customHeight="1" collapsed="1">
      <c r="B46" s="7">
        <f>IF( Table2[[#This Row],[target_lang]] = "noted", 1, 0)</f>
        <v>0</v>
      </c>
      <c r="C46" s="7">
        <f xml:space="preserve"> IF( Table2[[#This Row],[target_lang]] = "notedoc", 1, 0)</f>
        <v>0</v>
      </c>
      <c r="D46" s="10" t="s">
        <v>167</v>
      </c>
      <c r="E46" s="33" t="str">
        <f>IF( Table2[[#This Row],[label]] = "", "", IF( Table2[[#This Row],[origin]] = "notedoc",  Table2[[#This Row],[origin]],  "noted"))</f>
        <v/>
      </c>
      <c r="F46" s="18" t="s">
        <v>227</v>
      </c>
      <c r="G46" s="19"/>
      <c r="H46" s="20"/>
      <c r="I46" s="18"/>
      <c r="J46" s="22"/>
      <c r="K4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46" s="8" t="str">
        <f>"" &amp;  IF(Table2[[#This Row],[hasUnsafeRegex]] = 0, Table2[[#This Row],[regexTermInput]], "(?:" &amp; Table2[[#This Row],[regexTermInput]] &amp; ")")</f>
        <v/>
      </c>
      <c r="M46" s="11">
        <f>IF( IFERROR( FIND("$", Table2[[#This Row],[unsafeRegexGuess]]), 0) &lt;=0, 0, 1)</f>
        <v>0</v>
      </c>
      <c r="N46" s="11">
        <f>IF( IFERROR( FIND("$", Table2[[#This Row],[anyRegexGuess]]), 0) &lt;=0, 0, 1)</f>
        <v>0</v>
      </c>
      <c r="O46" s="13" t="str">
        <f>SUBSTITUTE( SUBSTITUTE( SUBSTITUTE(SUBSTITUTE(Table2[[#This Row],[unsafeRegexGuess]], ")", "$"), "*", "$"), "+", "$"), "?", "$")</f>
        <v/>
      </c>
      <c r="P46" s="13" t="str">
        <f xml:space="preserve"> SUBSTITUTE( SUBSTITUTE( SUBSTITUTE(Table2[[#This Row],[regexTermInput]], "(", "$"), "|", "$"), "^", "$")</f>
        <v/>
      </c>
      <c r="Q46"/>
      <c r="R46"/>
      <c r="S46"/>
      <c r="T46"/>
      <c r="U46"/>
      <c r="V46"/>
      <c r="X46"/>
    </row>
    <row r="47" spans="2:24" ht="16" hidden="1" customHeight="1">
      <c r="B47" s="7">
        <f>IF( Table2[[#This Row],[target_lang]] = "noted", 1, 0)</f>
        <v>0</v>
      </c>
      <c r="C47" s="7">
        <f xml:space="preserve"> IF( Table2[[#This Row],[target_lang]] = "notedoc", 1, 0)</f>
        <v>1</v>
      </c>
      <c r="D47" s="10" t="s">
        <v>167</v>
      </c>
      <c r="E47" s="10" t="str">
        <f>IF( Table2[[#This Row],[label]] = "", "", IF( Table2[[#This Row],[origin]] = "notedoc",  Table2[[#This Row],[origin]],  "noted"))</f>
        <v>notedoc</v>
      </c>
      <c r="F47" s="18" t="s">
        <v>227</v>
      </c>
      <c r="G47" s="19" t="s">
        <v>154</v>
      </c>
      <c r="H47" s="20" t="s">
        <v>152</v>
      </c>
      <c r="I47" s="18" t="s">
        <v>226</v>
      </c>
      <c r="J47" s="22"/>
      <c r="K4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7" s="8" t="str">
        <f>"" &amp;  IF(Table2[[#This Row],[hasUnsafeRegex]] = 0, Table2[[#This Row],[regexTermInput]], "(?:" &amp; Table2[[#This Row],[regexTermInput]] &amp; ")")</f>
        <v>(?:(?:ON |_)?FAIL(?:URE)?)</v>
      </c>
      <c r="M47" s="11">
        <f>IF( IFERROR( FIND("$", Table2[[#This Row],[unsafeRegexGuess]]), 0) &lt;=0, 0, 1)</f>
        <v>1</v>
      </c>
      <c r="N47" s="11">
        <f>IF( IFERROR( FIND("$", Table2[[#This Row],[anyRegexGuess]]), 0) &lt;=0, 0, 1)</f>
        <v>1</v>
      </c>
      <c r="O47" s="13" t="str">
        <f>SUBSTITUTE( SUBSTITUTE( SUBSTITUTE(SUBSTITUTE(Table2[[#This Row],[unsafeRegexGuess]], ")", "$"), "*", "$"), "+", "$"), "?", "$")</f>
        <v>$$:ON $_$$FAIL$$:URE$$</v>
      </c>
      <c r="P47" s="13" t="str">
        <f xml:space="preserve"> SUBSTITUTE( SUBSTITUTE( SUBSTITUTE(Table2[[#This Row],[regexTermInput]], "(", "$"), "|", "$"), "^", "$")</f>
        <v>$?:ON $_)?FAIL$?:URE)?</v>
      </c>
      <c r="Q47"/>
      <c r="R47"/>
      <c r="S47"/>
      <c r="T47"/>
      <c r="U47"/>
      <c r="V47"/>
      <c r="X47"/>
    </row>
    <row r="48" spans="2:24" ht="16" hidden="1" customHeight="1">
      <c r="B48" s="7">
        <f>IF( Table2[[#This Row],[target_lang]] = "noted", 1, 0)</f>
        <v>0</v>
      </c>
      <c r="C48" s="7">
        <f xml:space="preserve"> IF( Table2[[#This Row],[target_lang]] = "notedoc", 1, 0)</f>
        <v>1</v>
      </c>
      <c r="D48" s="10" t="s">
        <v>167</v>
      </c>
      <c r="E48" s="10" t="str">
        <f>IF( Table2[[#This Row],[label]] = "", "", IF( Table2[[#This Row],[origin]] = "notedoc",  Table2[[#This Row],[origin]],  "noted"))</f>
        <v>notedoc</v>
      </c>
      <c r="F48" s="18" t="s">
        <v>227</v>
      </c>
      <c r="G48" s="19" t="s">
        <v>156</v>
      </c>
      <c r="H48" s="20" t="s">
        <v>84</v>
      </c>
      <c r="I48" s="18" t="s">
        <v>226</v>
      </c>
      <c r="J48" s="23"/>
      <c r="K4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8" s="10" t="str">
        <f>"" &amp;  IF(Table2[[#This Row],[hasUnsafeRegex]] = 0, Table2[[#This Row],[regexTermInput]], "(?:" &amp; Table2[[#This Row],[regexTermInput]] &amp; ")")</f>
        <v>(?:ARGS?|ARGUMENTS?)</v>
      </c>
      <c r="M48" s="11">
        <f>IF( IFERROR( FIND("$", Table2[[#This Row],[unsafeRegexGuess]]), 0) &lt;=0, 0, 1)</f>
        <v>1</v>
      </c>
      <c r="N48" s="11">
        <f>IF( IFERROR( FIND("$", Table2[[#This Row],[anyRegexGuess]]), 0) &lt;=0, 0, 1)</f>
        <v>1</v>
      </c>
      <c r="O48" s="13" t="str">
        <f>SUBSTITUTE( SUBSTITUTE( SUBSTITUTE(SUBSTITUTE(Table2[[#This Row],[unsafeRegexGuess]], ")", "$"), "*", "$"), "+", "$"), "?", "$")</f>
        <v>ARGS$$ARGUMENTS$</v>
      </c>
      <c r="P48" s="13" t="str">
        <f xml:space="preserve"> SUBSTITUTE( SUBSTITUTE( SUBSTITUTE(Table2[[#This Row],[regexTermInput]], "(", "$"), "|", "$"), "^", "$")</f>
        <v>ARGS?$ARGUMENTS?</v>
      </c>
      <c r="Q48"/>
      <c r="R48"/>
      <c r="S48"/>
      <c r="T48"/>
      <c r="U48"/>
      <c r="V48"/>
      <c r="X48"/>
    </row>
    <row r="49" spans="2:24" ht="16" hidden="1" customHeight="1">
      <c r="B49" s="25">
        <f>IF( Table2[[#This Row],[target_lang]] = "noted", 1, 0)</f>
        <v>0</v>
      </c>
      <c r="C49" s="25">
        <f xml:space="preserve"> IF( Table2[[#This Row],[target_lang]] = "notedoc", 1, 0)</f>
        <v>1</v>
      </c>
      <c r="D49" s="10" t="s">
        <v>167</v>
      </c>
      <c r="E49" s="10" t="s">
        <v>167</v>
      </c>
      <c r="F49" s="18" t="s">
        <v>227</v>
      </c>
      <c r="G49" s="19" t="s">
        <v>179</v>
      </c>
      <c r="H49" s="20" t="s">
        <v>180</v>
      </c>
      <c r="I49" s="18" t="s">
        <v>226</v>
      </c>
      <c r="J49" s="26"/>
      <c r="K4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49" s="27" t="str">
        <f>"" &amp;  IF(Table2[[#This Row],[hasUnsafeRegex]] = 0, Table2[[#This Row],[regexTermInput]], "(?:" &amp; Table2[[#This Row],[regexTermInput]] &amp; ")")</f>
        <v>(?:FUNC(?:TION)S?)</v>
      </c>
      <c r="M49" s="28">
        <f>IF( IFERROR( FIND("$", Table2[[#This Row],[unsafeRegexGuess]]), 0) &lt;=0, 0, 1)</f>
        <v>1</v>
      </c>
      <c r="N49" s="28">
        <f>IF( IFERROR( FIND("$", Table2[[#This Row],[anyRegexGuess]]), 0) &lt;=0, 0, 1)</f>
        <v>1</v>
      </c>
      <c r="O49" s="29" t="str">
        <f>SUBSTITUTE( SUBSTITUTE( SUBSTITUTE(SUBSTITUTE(Table2[[#This Row],[unsafeRegexGuess]], ")", "$"), "*", "$"), "+", "$"), "?", "$")</f>
        <v>FUNC$$:TION$S$</v>
      </c>
      <c r="P49" s="29" t="str">
        <f xml:space="preserve"> SUBSTITUTE( SUBSTITUTE( SUBSTITUTE(Table2[[#This Row],[regexTermInput]], "(", "$"), "|", "$"), "^", "$")</f>
        <v>FUNC$?:TION)S?</v>
      </c>
      <c r="Q49"/>
      <c r="R49"/>
      <c r="S49"/>
      <c r="T49"/>
      <c r="U49"/>
      <c r="V49"/>
      <c r="X49"/>
    </row>
    <row r="50" spans="2:24" ht="16" hidden="1" customHeight="1">
      <c r="B50" s="25">
        <f>IF( Table2[[#This Row],[target_lang]] = "noted", 1, 0)</f>
        <v>0</v>
      </c>
      <c r="C50" s="25">
        <f xml:space="preserve"> IF( Table2[[#This Row],[target_lang]] = "notedoc", 1, 0)</f>
        <v>1</v>
      </c>
      <c r="D50" s="10" t="s">
        <v>167</v>
      </c>
      <c r="E50" s="10" t="s">
        <v>167</v>
      </c>
      <c r="F50" s="18" t="s">
        <v>227</v>
      </c>
      <c r="G50" s="19" t="s">
        <v>184</v>
      </c>
      <c r="H50" s="20" t="s">
        <v>181</v>
      </c>
      <c r="I50" s="18" t="s">
        <v>226</v>
      </c>
      <c r="J50" s="26"/>
      <c r="K5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0" s="27" t="str">
        <f>"" &amp;  IF(Table2[[#This Row],[hasUnsafeRegex]] = 0, Table2[[#This Row],[regexTermInput]], "(?:" &amp; Table2[[#This Row],[regexTermInput]] &amp; ")")</f>
        <v>METHODS?</v>
      </c>
      <c r="M50" s="28">
        <f>IF( IFERROR( FIND("$", Table2[[#This Row],[unsafeRegexGuess]]), 0) &lt;=0, 0, 1)</f>
        <v>0</v>
      </c>
      <c r="N50" s="28">
        <f>IF( IFERROR( FIND("$", Table2[[#This Row],[anyRegexGuess]]), 0) &lt;=0, 0, 1)</f>
        <v>1</v>
      </c>
      <c r="O50" s="29" t="str">
        <f>SUBSTITUTE( SUBSTITUTE( SUBSTITUTE(SUBSTITUTE(Table2[[#This Row],[unsafeRegexGuess]], ")", "$"), "*", "$"), "+", "$"), "?", "$")</f>
        <v>METHODS$</v>
      </c>
      <c r="P50" s="29" t="str">
        <f xml:space="preserve"> SUBSTITUTE( SUBSTITUTE( SUBSTITUTE(Table2[[#This Row],[regexTermInput]], "(", "$"), "|", "$"), "^", "$")</f>
        <v>METHODS?</v>
      </c>
      <c r="Q50"/>
      <c r="R50"/>
      <c r="S50"/>
      <c r="T50"/>
      <c r="U50"/>
      <c r="V50"/>
      <c r="X50"/>
    </row>
    <row r="51" spans="2:24" ht="16" hidden="1" customHeight="1">
      <c r="B51" s="7">
        <f>IF( Table2[[#This Row],[target_lang]] = "noted", 1, 0)</f>
        <v>0</v>
      </c>
      <c r="C51" s="7">
        <f xml:space="preserve"> IF( Table2[[#This Row],[target_lang]] = "notedoc", 1, 0)</f>
        <v>1</v>
      </c>
      <c r="D51" s="10" t="s">
        <v>167</v>
      </c>
      <c r="E51" s="10" t="str">
        <f>IF( Table2[[#This Row],[label]] = "", "", IF( Table2[[#This Row],[origin]] = "notedoc",  Table2[[#This Row],[origin]],  "noted"))</f>
        <v>notedoc</v>
      </c>
      <c r="F51" s="18" t="s">
        <v>227</v>
      </c>
      <c r="G51" s="19" t="s">
        <v>155</v>
      </c>
      <c r="H51" s="20" t="s">
        <v>153</v>
      </c>
      <c r="I51" s="18" t="s">
        <v>226</v>
      </c>
      <c r="J51" s="22"/>
      <c r="K5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1" s="8" t="str">
        <f>"" &amp;  IF(Table2[[#This Row],[hasUnsafeRegex]] = 0, Table2[[#This Row],[regexTermInput]], "(?:" &amp; Table2[[#This Row],[regexTermInput]] &amp; ")")</f>
        <v>(?:(?:ON |_)?SUCCESS)</v>
      </c>
      <c r="M51" s="11">
        <f>IF( IFERROR( FIND("$", Table2[[#This Row],[unsafeRegexGuess]]), 0) &lt;=0, 0, 1)</f>
        <v>1</v>
      </c>
      <c r="N51" s="11">
        <f>IF( IFERROR( FIND("$", Table2[[#This Row],[anyRegexGuess]]), 0) &lt;=0, 0, 1)</f>
        <v>1</v>
      </c>
      <c r="O51" s="13" t="str">
        <f>SUBSTITUTE( SUBSTITUTE( SUBSTITUTE(SUBSTITUTE(Table2[[#This Row],[unsafeRegexGuess]], ")", "$"), "*", "$"), "+", "$"), "?", "$")</f>
        <v>$$:ON $_$$SUCCESS</v>
      </c>
      <c r="P51" s="13" t="str">
        <f xml:space="preserve"> SUBSTITUTE( SUBSTITUTE( SUBSTITUTE(Table2[[#This Row],[regexTermInput]], "(", "$"), "|", "$"), "^", "$")</f>
        <v>$?:ON $_)?SUCCESS</v>
      </c>
      <c r="Q51"/>
      <c r="R51"/>
      <c r="S51"/>
      <c r="T51"/>
      <c r="U51"/>
      <c r="V51"/>
      <c r="X51"/>
    </row>
    <row r="52" spans="2:24" ht="16" hidden="1" customHeight="1">
      <c r="B52" s="7">
        <f>IF( Table2[[#This Row],[target_lang]] = "noted", 1, 0)</f>
        <v>0</v>
      </c>
      <c r="C52" s="7">
        <f xml:space="preserve"> IF( Table2[[#This Row],[target_lang]] = "notedoc", 1, 0)</f>
        <v>1</v>
      </c>
      <c r="D52" s="10" t="s">
        <v>167</v>
      </c>
      <c r="E52" s="10" t="str">
        <f>IF( Table2[[#This Row],[label]] = "", "", IF( Table2[[#This Row],[origin]] = "notedoc",  Table2[[#This Row],[origin]],  "noted"))</f>
        <v>notedoc</v>
      </c>
      <c r="F52" s="18" t="s">
        <v>227</v>
      </c>
      <c r="G52" s="19" t="s">
        <v>157</v>
      </c>
      <c r="H52" s="20" t="s">
        <v>86</v>
      </c>
      <c r="I52" s="18" t="s">
        <v>226</v>
      </c>
      <c r="J52" s="22"/>
      <c r="K5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2" s="8" t="str">
        <f>"" &amp;  IF(Table2[[#This Row],[hasUnsafeRegex]] = 0, Table2[[#This Row],[regexTermInput]], "(?:" &amp; Table2[[#This Row],[regexTermInput]] &amp; ")")</f>
        <v>(?:OPTS?|OPTIONS?)</v>
      </c>
      <c r="M52" s="11">
        <f>IF( IFERROR( FIND("$", Table2[[#This Row],[unsafeRegexGuess]]), 0) &lt;=0, 0, 1)</f>
        <v>1</v>
      </c>
      <c r="N52" s="11">
        <f>IF( IFERROR( FIND("$", Table2[[#This Row],[anyRegexGuess]]), 0) &lt;=0, 0, 1)</f>
        <v>1</v>
      </c>
      <c r="O52" s="13" t="str">
        <f>SUBSTITUTE( SUBSTITUTE( SUBSTITUTE(SUBSTITUTE(Table2[[#This Row],[unsafeRegexGuess]], ")", "$"), "*", "$"), "+", "$"), "?", "$")</f>
        <v>OPTS$$OPTIONS$</v>
      </c>
      <c r="P52" s="13" t="str">
        <f xml:space="preserve"> SUBSTITUTE( SUBSTITUTE( SUBSTITUTE(Table2[[#This Row],[regexTermInput]], "(", "$"), "|", "$"), "^", "$")</f>
        <v>OPTS?$OPTIONS?</v>
      </c>
      <c r="Q52"/>
      <c r="R52"/>
      <c r="S52"/>
      <c r="T52"/>
      <c r="U52"/>
      <c r="V52"/>
      <c r="X52"/>
    </row>
    <row r="53" spans="2:24" ht="16" hidden="1" customHeight="1">
      <c r="B53" s="7">
        <f>IF( Table2[[#This Row],[target_lang]] = "noted", 1, 0)</f>
        <v>0</v>
      </c>
      <c r="C53" s="7">
        <f xml:space="preserve"> IF( Table2[[#This Row],[target_lang]] = "notedoc", 1, 0)</f>
        <v>1</v>
      </c>
      <c r="D53" s="10" t="s">
        <v>167</v>
      </c>
      <c r="E53" s="10" t="str">
        <f>IF( Table2[[#This Row],[label]] = "", "", IF( Table2[[#This Row],[origin]] = "notedoc",  Table2[[#This Row],[origin]],  "noted"))</f>
        <v>notedoc</v>
      </c>
      <c r="F53" s="18" t="s">
        <v>227</v>
      </c>
      <c r="G53" s="19" t="s">
        <v>158</v>
      </c>
      <c r="H53" s="20" t="s">
        <v>85</v>
      </c>
      <c r="I53" s="18" t="s">
        <v>226</v>
      </c>
      <c r="J53" s="22"/>
      <c r="K5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3" s="8" t="str">
        <f>"" &amp;  IF(Table2[[#This Row],[hasUnsafeRegex]] = 0, Table2[[#This Row],[regexTermInput]], "(?:" &amp; Table2[[#This Row],[regexTermInput]] &amp; ")")</f>
        <v>(?:PARAMS?|PARAMETERS?)</v>
      </c>
      <c r="M53" s="11">
        <f>IF( IFERROR( FIND("$", Table2[[#This Row],[unsafeRegexGuess]]), 0) &lt;=0, 0, 1)</f>
        <v>1</v>
      </c>
      <c r="N53" s="11">
        <f>IF( IFERROR( FIND("$", Table2[[#This Row],[anyRegexGuess]]), 0) &lt;=0, 0, 1)</f>
        <v>1</v>
      </c>
      <c r="O53" s="13" t="str">
        <f>SUBSTITUTE( SUBSTITUTE( SUBSTITUTE(SUBSTITUTE(Table2[[#This Row],[unsafeRegexGuess]], ")", "$"), "*", "$"), "+", "$"), "?", "$")</f>
        <v>PARAMS$$PARAMETERS$</v>
      </c>
      <c r="P53" s="13" t="str">
        <f xml:space="preserve"> SUBSTITUTE( SUBSTITUTE( SUBSTITUTE(Table2[[#This Row],[regexTermInput]], "(", "$"), "|", "$"), "^", "$")</f>
        <v>PARAMS?$PARAMETERS?</v>
      </c>
      <c r="Q53"/>
      <c r="R53"/>
      <c r="S53"/>
      <c r="T53"/>
      <c r="U53"/>
      <c r="V53"/>
      <c r="X53"/>
    </row>
    <row r="54" spans="2:24" ht="16" hidden="1" customHeight="1">
      <c r="B54" s="25">
        <f>IF( Table2[[#This Row],[target_lang]] = "noted", 1, 0)</f>
        <v>0</v>
      </c>
      <c r="C54" s="25">
        <f xml:space="preserve"> IF( Table2[[#This Row],[target_lang]] = "notedoc", 1, 0)</f>
        <v>1</v>
      </c>
      <c r="D54" s="10" t="s">
        <v>167</v>
      </c>
      <c r="E54" s="10" t="s">
        <v>167</v>
      </c>
      <c r="F54" s="18" t="s">
        <v>227</v>
      </c>
      <c r="G54" s="19" t="s">
        <v>186</v>
      </c>
      <c r="H54" s="20" t="s">
        <v>183</v>
      </c>
      <c r="I54" s="18" t="s">
        <v>226</v>
      </c>
      <c r="J54" s="26"/>
      <c r="K5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4" s="27" t="str">
        <f>"" &amp;  IF(Table2[[#This Row],[hasUnsafeRegex]] = 0, Table2[[#This Row],[regexTermInput]], "(?:" &amp; Table2[[#This Row],[regexTermInput]] &amp; ")")</f>
        <v>(?:PROC(?:EDURE)S?)</v>
      </c>
      <c r="M54" s="28">
        <f>IF( IFERROR( FIND("$", Table2[[#This Row],[unsafeRegexGuess]]), 0) &lt;=0, 0, 1)</f>
        <v>1</v>
      </c>
      <c r="N54" s="28">
        <f>IF( IFERROR( FIND("$", Table2[[#This Row],[anyRegexGuess]]), 0) &lt;=0, 0, 1)</f>
        <v>1</v>
      </c>
      <c r="O54" s="29" t="str">
        <f>SUBSTITUTE( SUBSTITUTE( SUBSTITUTE(SUBSTITUTE(Table2[[#This Row],[unsafeRegexGuess]], ")", "$"), "*", "$"), "+", "$"), "?", "$")</f>
        <v>PROC$$:EDURE$S$</v>
      </c>
      <c r="P54" s="29" t="str">
        <f xml:space="preserve"> SUBSTITUTE( SUBSTITUTE( SUBSTITUTE(Table2[[#This Row],[regexTermInput]], "(", "$"), "|", "$"), "^", "$")</f>
        <v>PROC$?:EDURE)S?</v>
      </c>
      <c r="Q54"/>
      <c r="R54"/>
      <c r="S54"/>
      <c r="T54"/>
      <c r="U54"/>
      <c r="V54"/>
      <c r="X54"/>
    </row>
    <row r="55" spans="2:24" ht="16" hidden="1" customHeight="1">
      <c r="B55" s="7">
        <f>IF( Table2[[#This Row],[target_lang]] = "noted", 1, 0)</f>
        <v>0</v>
      </c>
      <c r="C55" s="7">
        <f xml:space="preserve"> IF( Table2[[#This Row],[target_lang]] = "notedoc", 1, 0)</f>
        <v>1</v>
      </c>
      <c r="D55" s="10" t="s">
        <v>167</v>
      </c>
      <c r="E55" s="10" t="str">
        <f>IF( Table2[[#This Row],[label]] = "", "", IF( Table2[[#This Row],[origin]] = "notedoc",  Table2[[#This Row],[origin]],  "noted"))</f>
        <v>notedoc</v>
      </c>
      <c r="F55" s="18" t="s">
        <v>227</v>
      </c>
      <c r="G55" s="19" t="s">
        <v>159</v>
      </c>
      <c r="H55" s="20" t="s">
        <v>87</v>
      </c>
      <c r="I55" s="18" t="s">
        <v>226</v>
      </c>
      <c r="J55" s="22"/>
      <c r="K5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5" s="8" t="str">
        <f>"" &amp;  IF(Table2[[#This Row],[hasUnsafeRegex]] = 0, Table2[[#This Row],[regexTermInput]], "(?:" &amp; Table2[[#This Row],[regexTermInput]] &amp; ")")</f>
        <v>RETURNS?</v>
      </c>
      <c r="M55" s="11">
        <f>IF( IFERROR( FIND("$", Table2[[#This Row],[unsafeRegexGuess]]), 0) &lt;=0, 0, 1)</f>
        <v>0</v>
      </c>
      <c r="N55" s="11">
        <f>IF( IFERROR( FIND("$", Table2[[#This Row],[anyRegexGuess]]), 0) &lt;=0, 0, 1)</f>
        <v>1</v>
      </c>
      <c r="O55" s="13" t="str">
        <f>SUBSTITUTE( SUBSTITUTE( SUBSTITUTE(SUBSTITUTE(Table2[[#This Row],[unsafeRegexGuess]], ")", "$"), "*", "$"), "+", "$"), "?", "$")</f>
        <v>RETURNS$</v>
      </c>
      <c r="P55" s="13" t="str">
        <f xml:space="preserve"> SUBSTITUTE( SUBSTITUTE( SUBSTITUTE(Table2[[#This Row],[regexTermInput]], "(", "$"), "|", "$"), "^", "$")</f>
        <v>RETURNS?</v>
      </c>
      <c r="Q55"/>
      <c r="R55"/>
      <c r="S55"/>
      <c r="T55"/>
      <c r="U55"/>
      <c r="V55"/>
      <c r="X55"/>
    </row>
    <row r="56" spans="2:24" ht="16" hidden="1" customHeight="1">
      <c r="B56" s="25">
        <f>IF( Table2[[#This Row],[target_lang]] = "noted", 1, 0)</f>
        <v>0</v>
      </c>
      <c r="C56" s="25">
        <f xml:space="preserve"> IF( Table2[[#This Row],[target_lang]] = "notedoc", 1, 0)</f>
        <v>1</v>
      </c>
      <c r="D56" s="10" t="s">
        <v>167</v>
      </c>
      <c r="E56" s="10" t="s">
        <v>167</v>
      </c>
      <c r="F56" s="18" t="s">
        <v>227</v>
      </c>
      <c r="G56" s="19" t="s">
        <v>185</v>
      </c>
      <c r="H56" s="20" t="s">
        <v>182</v>
      </c>
      <c r="I56" s="18" t="s">
        <v>226</v>
      </c>
      <c r="J56" s="26"/>
      <c r="K5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6" s="27" t="str">
        <f>"" &amp;  IF(Table2[[#This Row],[hasUnsafeRegex]] = 0, Table2[[#This Row],[regexTermInput]], "(?:" &amp; Table2[[#This Row],[regexTermInput]] &amp; ")")</f>
        <v>(?:(?:SUB)ROUTINES?)</v>
      </c>
      <c r="M56" s="28">
        <f>IF( IFERROR( FIND("$", Table2[[#This Row],[unsafeRegexGuess]]), 0) &lt;=0, 0, 1)</f>
        <v>1</v>
      </c>
      <c r="N56" s="28">
        <f>IF( IFERROR( FIND("$", Table2[[#This Row],[anyRegexGuess]]), 0) &lt;=0, 0, 1)</f>
        <v>1</v>
      </c>
      <c r="O56" s="29" t="str">
        <f>SUBSTITUTE( SUBSTITUTE( SUBSTITUTE(SUBSTITUTE(Table2[[#This Row],[unsafeRegexGuess]], ")", "$"), "*", "$"), "+", "$"), "?", "$")</f>
        <v>$$:SUB$ROUTINES$</v>
      </c>
      <c r="P56" s="29" t="str">
        <f xml:space="preserve"> SUBSTITUTE( SUBSTITUTE( SUBSTITUTE(Table2[[#This Row],[regexTermInput]], "(", "$"), "|", "$"), "^", "$")</f>
        <v>$?:SUB)ROUTINES?</v>
      </c>
      <c r="Q56"/>
      <c r="R56"/>
      <c r="S56"/>
      <c r="T56"/>
      <c r="U56"/>
      <c r="V56"/>
      <c r="X56"/>
    </row>
    <row r="57" spans="2:24" ht="16" hidden="1" customHeight="1">
      <c r="B57" s="7">
        <f>IF( Table2[[#This Row],[target_lang]] = "noted", 1, 0)</f>
        <v>0</v>
      </c>
      <c r="C57" s="7">
        <f xml:space="preserve"> IF( Table2[[#This Row],[target_lang]] = "notedoc", 1, 0)</f>
        <v>1</v>
      </c>
      <c r="D57" s="10" t="s">
        <v>167</v>
      </c>
      <c r="E57" s="10" t="str">
        <f>IF( Table2[[#This Row],[label]] = "", "", IF( Table2[[#This Row],[origin]] = "notedoc",  Table2[[#This Row],[origin]],  "noted"))</f>
        <v>notedoc</v>
      </c>
      <c r="F57" s="18" t="s">
        <v>227</v>
      </c>
      <c r="G57" s="19" t="s">
        <v>166</v>
      </c>
      <c r="H57" s="20" t="str">
        <f>Table2[[#This Row],[label]]</f>
        <v>SWITCHES</v>
      </c>
      <c r="I57" s="18" t="s">
        <v>226</v>
      </c>
      <c r="J57" s="22"/>
      <c r="K5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storage.type.class.${1:/downcase}._noted-doc.sub._level-{{level}}._feeling-ok.text.notedoc</v>
      </c>
      <c r="L57" s="8" t="str">
        <f>"" &amp;  IF(Table2[[#This Row],[hasUnsafeRegex]] = 0, Table2[[#This Row],[regexTermInput]], "(?:" &amp; Table2[[#This Row],[regexTermInput]] &amp; ")")</f>
        <v>SWITCHES</v>
      </c>
      <c r="M57" s="11">
        <f>IF( IFERROR( FIND("$", Table2[[#This Row],[unsafeRegexGuess]]), 0) &lt;=0, 0, 1)</f>
        <v>0</v>
      </c>
      <c r="N57" s="11">
        <f>IF( IFERROR( FIND("$", Table2[[#This Row],[anyRegexGuess]]), 0) &lt;=0, 0, 1)</f>
        <v>0</v>
      </c>
      <c r="O57" s="13" t="str">
        <f>SUBSTITUTE( SUBSTITUTE( SUBSTITUTE(SUBSTITUTE(Table2[[#This Row],[unsafeRegexGuess]], ")", "$"), "*", "$"), "+", "$"), "?", "$")</f>
        <v>SWITCHES</v>
      </c>
      <c r="P57" s="13" t="str">
        <f xml:space="preserve"> SUBSTITUTE( SUBSTITUTE( SUBSTITUTE(Table2[[#This Row],[regexTermInput]], "(", "$"), "|", "$"), "^", "$")</f>
        <v>SWITCHES</v>
      </c>
      <c r="Q57"/>
      <c r="R57"/>
      <c r="S57"/>
      <c r="T57"/>
      <c r="U57"/>
      <c r="V57"/>
      <c r="X57"/>
    </row>
    <row r="58" spans="2:24" ht="16" hidden="1" customHeight="1">
      <c r="B58" s="25">
        <f>IF( Table2[[#This Row],[target_lang]] = "noted", 1, 0)</f>
        <v>0</v>
      </c>
      <c r="C58" s="25">
        <f xml:space="preserve"> IF( Table2[[#This Row],[target_lang]] = "notedoc", 1, 0)</f>
        <v>1</v>
      </c>
      <c r="D58" s="10" t="s">
        <v>167</v>
      </c>
      <c r="E58" s="10" t="s">
        <v>167</v>
      </c>
      <c r="F58" s="18" t="s">
        <v>231</v>
      </c>
      <c r="G58" s="19"/>
      <c r="H58" s="20"/>
      <c r="I58" s="18"/>
      <c r="J58" s="26"/>
      <c r="K5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58" s="27" t="str">
        <f>"" &amp;  IF(Table2[[#This Row],[hasUnsafeRegex]] = 0, Table2[[#This Row],[regexTermInput]], "(?:" &amp; Table2[[#This Row],[regexTermInput]] &amp; ")")</f>
        <v/>
      </c>
      <c r="M58" s="28">
        <f>IF( IFERROR( FIND("$", Table2[[#This Row],[unsafeRegexGuess]]), 0) &lt;=0, 0, 1)</f>
        <v>0</v>
      </c>
      <c r="N58" s="28">
        <f>IF( IFERROR( FIND("$", Table2[[#This Row],[anyRegexGuess]]), 0) &lt;=0, 0, 1)</f>
        <v>0</v>
      </c>
      <c r="O58" s="29" t="str">
        <f>SUBSTITUTE( SUBSTITUTE( SUBSTITUTE(SUBSTITUTE(Table2[[#This Row],[unsafeRegexGuess]], ")", "$"), "*", "$"), "+", "$"), "?", "$")</f>
        <v/>
      </c>
      <c r="P58" s="29" t="str">
        <f xml:space="preserve"> SUBSTITUTE( SUBSTITUTE( SUBSTITUTE(Table2[[#This Row],[regexTermInput]], "(", "$"), "|", "$"), "^", "$")</f>
        <v/>
      </c>
      <c r="Q58"/>
      <c r="R58"/>
      <c r="S58"/>
      <c r="T58"/>
      <c r="U58"/>
      <c r="V58"/>
      <c r="X58"/>
    </row>
    <row r="59" spans="2:24" ht="16" hidden="1" customHeight="1">
      <c r="B59" s="25">
        <f>IF( Table2[[#This Row],[target_lang]] = "noted", 1, 0)</f>
        <v>0</v>
      </c>
      <c r="C59" s="25">
        <f xml:space="preserve"> IF( Table2[[#This Row],[target_lang]] = "notedoc", 1, 0)</f>
        <v>1</v>
      </c>
      <c r="D59" s="10" t="s">
        <v>167</v>
      </c>
      <c r="E59" s="10" t="s">
        <v>167</v>
      </c>
      <c r="F59" s="18" t="s">
        <v>231</v>
      </c>
      <c r="G59" s="19" t="s">
        <v>209</v>
      </c>
      <c r="H59" s="20" t="str">
        <f>Table2[[#This Row],[label]]</f>
        <v>ANDROID</v>
      </c>
      <c r="I59" s="18" t="s">
        <v>226</v>
      </c>
      <c r="J59" s="26"/>
      <c r="K5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59" s="27" t="str">
        <f>"" &amp;  IF(Table2[[#This Row],[hasUnsafeRegex]] = 0, Table2[[#This Row],[regexTermInput]], "(?:" &amp; Table2[[#This Row],[regexTermInput]] &amp; ")")</f>
        <v>ANDROID</v>
      </c>
      <c r="M59" s="28">
        <f>IF( IFERROR( FIND("$", Table2[[#This Row],[unsafeRegexGuess]]), 0) &lt;=0, 0, 1)</f>
        <v>0</v>
      </c>
      <c r="N59" s="28">
        <f>IF( IFERROR( FIND("$", Table2[[#This Row],[anyRegexGuess]]), 0) &lt;=0, 0, 1)</f>
        <v>0</v>
      </c>
      <c r="O59" s="29" t="str">
        <f>SUBSTITUTE( SUBSTITUTE( SUBSTITUTE(SUBSTITUTE(Table2[[#This Row],[unsafeRegexGuess]], ")", "$"), "*", "$"), "+", "$"), "?", "$")</f>
        <v>ANDROID</v>
      </c>
      <c r="P59" s="29" t="str">
        <f xml:space="preserve"> SUBSTITUTE( SUBSTITUTE( SUBSTITUTE(Table2[[#This Row],[regexTermInput]], "(", "$"), "|", "$"), "^", "$")</f>
        <v>ANDROID</v>
      </c>
      <c r="Q59"/>
      <c r="R59"/>
      <c r="S59"/>
      <c r="T59"/>
      <c r="U59"/>
      <c r="V59"/>
      <c r="X59"/>
    </row>
    <row r="60" spans="2:24" ht="16" hidden="1" customHeight="1">
      <c r="B60" s="25">
        <f>IF( Table2[[#This Row],[target_lang]] = "noted", 1, 0)</f>
        <v>0</v>
      </c>
      <c r="C60" s="25">
        <f xml:space="preserve"> IF( Table2[[#This Row],[target_lang]] = "notedoc", 1, 0)</f>
        <v>1</v>
      </c>
      <c r="D60" s="10" t="s">
        <v>167</v>
      </c>
      <c r="E60" s="10" t="s">
        <v>167</v>
      </c>
      <c r="F60" s="18" t="s">
        <v>231</v>
      </c>
      <c r="G60" s="19" t="s">
        <v>208</v>
      </c>
      <c r="H60" s="20" t="str">
        <f>Table2[[#This Row],[label]]</f>
        <v>DOS</v>
      </c>
      <c r="I60" s="18" t="s">
        <v>226</v>
      </c>
      <c r="J60" s="26"/>
      <c r="K6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0" s="27" t="str">
        <f>"" &amp;  IF(Table2[[#This Row],[hasUnsafeRegex]] = 0, Table2[[#This Row],[regexTermInput]], "(?:" &amp; Table2[[#This Row],[regexTermInput]] &amp; ")")</f>
        <v>DOS</v>
      </c>
      <c r="M60" s="28">
        <f>IF( IFERROR( FIND("$", Table2[[#This Row],[unsafeRegexGuess]]), 0) &lt;=0, 0, 1)</f>
        <v>0</v>
      </c>
      <c r="N60" s="28">
        <f>IF( IFERROR( FIND("$", Table2[[#This Row],[anyRegexGuess]]), 0) &lt;=0, 0, 1)</f>
        <v>0</v>
      </c>
      <c r="O60" s="29" t="str">
        <f>SUBSTITUTE( SUBSTITUTE( SUBSTITUTE(SUBSTITUTE(Table2[[#This Row],[unsafeRegexGuess]], ")", "$"), "*", "$"), "+", "$"), "?", "$")</f>
        <v>DOS</v>
      </c>
      <c r="P60" s="29" t="str">
        <f xml:space="preserve"> SUBSTITUTE( SUBSTITUTE( SUBSTITUTE(Table2[[#This Row],[regexTermInput]], "(", "$"), "|", "$"), "^", "$")</f>
        <v>DOS</v>
      </c>
      <c r="Q60"/>
      <c r="R60"/>
      <c r="S60"/>
      <c r="T60"/>
      <c r="U60"/>
      <c r="V60"/>
      <c r="X60"/>
    </row>
    <row r="61" spans="2:24" ht="16" hidden="1" customHeight="1">
      <c r="B61" s="25">
        <f>IF( Table2[[#This Row],[target_lang]] = "noted", 1, 0)</f>
        <v>0</v>
      </c>
      <c r="C61" s="25">
        <f xml:space="preserve"> IF( Table2[[#This Row],[target_lang]] = "notedoc", 1, 0)</f>
        <v>1</v>
      </c>
      <c r="D61" s="10" t="s">
        <v>167</v>
      </c>
      <c r="E61" s="10" t="s">
        <v>167</v>
      </c>
      <c r="F61" s="18" t="s">
        <v>231</v>
      </c>
      <c r="G61" s="19" t="s">
        <v>210</v>
      </c>
      <c r="H61" s="20" t="str">
        <f>Table2[[#This Row],[label]]</f>
        <v>IOS</v>
      </c>
      <c r="I61" s="18" t="s">
        <v>226</v>
      </c>
      <c r="J61" s="26"/>
      <c r="K6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1" s="27" t="str">
        <f>"" &amp;  IF(Table2[[#This Row],[hasUnsafeRegex]] = 0, Table2[[#This Row],[regexTermInput]], "(?:" &amp; Table2[[#This Row],[regexTermInput]] &amp; ")")</f>
        <v>IOS</v>
      </c>
      <c r="M61" s="28">
        <f>IF( IFERROR( FIND("$", Table2[[#This Row],[unsafeRegexGuess]]), 0) &lt;=0, 0, 1)</f>
        <v>0</v>
      </c>
      <c r="N61" s="28">
        <f>IF( IFERROR( FIND("$", Table2[[#This Row],[anyRegexGuess]]), 0) &lt;=0, 0, 1)</f>
        <v>0</v>
      </c>
      <c r="O61" s="29" t="str">
        <f>SUBSTITUTE( SUBSTITUTE( SUBSTITUTE(SUBSTITUTE(Table2[[#This Row],[unsafeRegexGuess]], ")", "$"), "*", "$"), "+", "$"), "?", "$")</f>
        <v>IOS</v>
      </c>
      <c r="P61" s="29" t="str">
        <f xml:space="preserve"> SUBSTITUTE( SUBSTITUTE( SUBSTITUTE(Table2[[#This Row],[regexTermInput]], "(", "$"), "|", "$"), "^", "$")</f>
        <v>IOS</v>
      </c>
      <c r="Q61"/>
      <c r="R61"/>
      <c r="S61"/>
      <c r="T61"/>
      <c r="U61"/>
      <c r="V61"/>
      <c r="X61"/>
    </row>
    <row r="62" spans="2:24" ht="16" hidden="1" customHeight="1">
      <c r="B62" s="25">
        <f>IF( Table2[[#This Row],[target_lang]] = "noted", 1, 0)</f>
        <v>0</v>
      </c>
      <c r="C62" s="25">
        <f xml:space="preserve"> IF( Table2[[#This Row],[target_lang]] = "notedoc", 1, 0)</f>
        <v>1</v>
      </c>
      <c r="D62" s="10" t="s">
        <v>167</v>
      </c>
      <c r="E62" s="10" t="s">
        <v>167</v>
      </c>
      <c r="F62" s="18" t="s">
        <v>231</v>
      </c>
      <c r="G62" s="19" t="s">
        <v>203</v>
      </c>
      <c r="H62" s="20" t="str">
        <f>Table2[[#This Row],[label]]</f>
        <v>LINUX</v>
      </c>
      <c r="I62" s="18" t="s">
        <v>226</v>
      </c>
      <c r="J62" s="26"/>
      <c r="K6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2" s="27" t="str">
        <f>"" &amp;  IF(Table2[[#This Row],[hasUnsafeRegex]] = 0, Table2[[#This Row],[regexTermInput]], "(?:" &amp; Table2[[#This Row],[regexTermInput]] &amp; ")")</f>
        <v>LINUX</v>
      </c>
      <c r="M62" s="28">
        <f>IF( IFERROR( FIND("$", Table2[[#This Row],[unsafeRegexGuess]]), 0) &lt;=0, 0, 1)</f>
        <v>0</v>
      </c>
      <c r="N62" s="28">
        <f>IF( IFERROR( FIND("$", Table2[[#This Row],[anyRegexGuess]]), 0) &lt;=0, 0, 1)</f>
        <v>0</v>
      </c>
      <c r="O62" s="29" t="str">
        <f>SUBSTITUTE( SUBSTITUTE( SUBSTITUTE(SUBSTITUTE(Table2[[#This Row],[unsafeRegexGuess]], ")", "$"), "*", "$"), "+", "$"), "?", "$")</f>
        <v>LINUX</v>
      </c>
      <c r="P62" s="29" t="str">
        <f xml:space="preserve"> SUBSTITUTE( SUBSTITUTE( SUBSTITUTE(Table2[[#This Row],[regexTermInput]], "(", "$"), "|", "$"), "^", "$")</f>
        <v>LINUX</v>
      </c>
      <c r="Q62"/>
      <c r="R62"/>
      <c r="S62"/>
      <c r="T62"/>
      <c r="U62"/>
      <c r="V62"/>
      <c r="X62"/>
    </row>
    <row r="63" spans="2:24" ht="16" hidden="1" customHeight="1">
      <c r="B63" s="25">
        <f>IF( Table2[[#This Row],[target_lang]] = "noted", 1, 0)</f>
        <v>0</v>
      </c>
      <c r="C63" s="25">
        <f xml:space="preserve"> IF( Table2[[#This Row],[target_lang]] = "notedoc", 1, 0)</f>
        <v>1</v>
      </c>
      <c r="D63" s="10" t="s">
        <v>167</v>
      </c>
      <c r="E63" s="10" t="s">
        <v>167</v>
      </c>
      <c r="F63" s="18" t="s">
        <v>231</v>
      </c>
      <c r="G63" s="19" t="s">
        <v>205</v>
      </c>
      <c r="H63" s="20" t="s">
        <v>206</v>
      </c>
      <c r="I63" s="18" t="s">
        <v>226</v>
      </c>
      <c r="J63" s="26"/>
      <c r="K6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3" s="27" t="str">
        <f>"" &amp;  IF(Table2[[#This Row],[hasUnsafeRegex]] = 0, Table2[[#This Row],[regexTermInput]], "(?:" &amp; Table2[[#This Row],[regexTermInput]] &amp; ")")</f>
        <v>(?:MACOS|MAC|OS X)</v>
      </c>
      <c r="M63" s="28">
        <f>IF( IFERROR( FIND("$", Table2[[#This Row],[unsafeRegexGuess]]), 0) &lt;=0, 0, 1)</f>
        <v>1</v>
      </c>
      <c r="N63" s="28">
        <f>IF( IFERROR( FIND("$", Table2[[#This Row],[anyRegexGuess]]), 0) &lt;=0, 0, 1)</f>
        <v>1</v>
      </c>
      <c r="O63" s="29" t="str">
        <f>SUBSTITUTE( SUBSTITUTE( SUBSTITUTE(SUBSTITUTE(Table2[[#This Row],[unsafeRegexGuess]], ")", "$"), "*", "$"), "+", "$"), "?", "$")</f>
        <v>MACOS$MAC$OS X</v>
      </c>
      <c r="P63" s="29" t="str">
        <f xml:space="preserve"> SUBSTITUTE( SUBSTITUTE( SUBSTITUTE(Table2[[#This Row],[regexTermInput]], "(", "$"), "|", "$"), "^", "$")</f>
        <v>MACOS$MAC$OS X</v>
      </c>
      <c r="Q63"/>
      <c r="R63"/>
      <c r="S63"/>
      <c r="T63"/>
      <c r="U63"/>
      <c r="V63"/>
      <c r="X63"/>
    </row>
    <row r="64" spans="2:24" ht="16" hidden="1" customHeight="1">
      <c r="B64" s="25">
        <f>IF( Table2[[#This Row],[target_lang]] = "noted", 1, 0)</f>
        <v>0</v>
      </c>
      <c r="C64" s="25">
        <f xml:space="preserve"> IF( Table2[[#This Row],[target_lang]] = "notedoc", 1, 0)</f>
        <v>1</v>
      </c>
      <c r="D64" s="10" t="s">
        <v>167</v>
      </c>
      <c r="E64" s="10" t="s">
        <v>167</v>
      </c>
      <c r="F64" s="18" t="s">
        <v>231</v>
      </c>
      <c r="G64" s="19" t="s">
        <v>199</v>
      </c>
      <c r="H64" s="20" t="s">
        <v>200</v>
      </c>
      <c r="I64" s="18" t="s">
        <v>226</v>
      </c>
      <c r="J64" s="26"/>
      <c r="K6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4" s="27" t="str">
        <f>"" &amp;  IF(Table2[[#This Row],[hasUnsafeRegex]] = 0, Table2[[#This Row],[regexTermInput]], "(?:" &amp; Table2[[#This Row],[regexTermInput]] &amp; ")")</f>
        <v>SHELLS?</v>
      </c>
      <c r="M64" s="28">
        <f>IF( IFERROR( FIND("$", Table2[[#This Row],[unsafeRegexGuess]]), 0) &lt;=0, 0, 1)</f>
        <v>0</v>
      </c>
      <c r="N64" s="28">
        <f>IF( IFERROR( FIND("$", Table2[[#This Row],[anyRegexGuess]]), 0) &lt;=0, 0, 1)</f>
        <v>1</v>
      </c>
      <c r="O64" s="29" t="str">
        <f>SUBSTITUTE( SUBSTITUTE( SUBSTITUTE(SUBSTITUTE(Table2[[#This Row],[unsafeRegexGuess]], ")", "$"), "*", "$"), "+", "$"), "?", "$")</f>
        <v>SHELLS$</v>
      </c>
      <c r="P64" s="29" t="str">
        <f xml:space="preserve"> SUBSTITUTE( SUBSTITUTE( SUBSTITUTE(Table2[[#This Row],[regexTermInput]], "(", "$"), "|", "$"), "^", "$")</f>
        <v>SHELLS?</v>
      </c>
      <c r="Q64"/>
      <c r="R64"/>
      <c r="S64"/>
      <c r="T64"/>
      <c r="U64"/>
      <c r="V64"/>
      <c r="X64"/>
    </row>
    <row r="65" spans="2:24" ht="16" hidden="1" customHeight="1">
      <c r="B65" s="25">
        <f>IF( Table2[[#This Row],[target_lang]] = "noted", 1, 0)</f>
        <v>0</v>
      </c>
      <c r="C65" s="25">
        <f xml:space="preserve"> IF( Table2[[#This Row],[target_lang]] = "notedoc", 1, 0)</f>
        <v>1</v>
      </c>
      <c r="D65" s="10" t="s">
        <v>167</v>
      </c>
      <c r="E65" s="10" t="s">
        <v>167</v>
      </c>
      <c r="F65" s="18" t="s">
        <v>231</v>
      </c>
      <c r="G65" s="19" t="s">
        <v>201</v>
      </c>
      <c r="H65" s="20" t="s">
        <v>202</v>
      </c>
      <c r="I65" s="18" t="s">
        <v>226</v>
      </c>
      <c r="J65" s="26"/>
      <c r="K6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5" s="27" t="str">
        <f>"" &amp;  IF(Table2[[#This Row],[hasUnsafeRegex]] = 0, Table2[[#This Row],[regexTermInput]], "(?:" &amp; Table2[[#This Row],[regexTermInput]] &amp; ")")</f>
        <v>(?:OS|(?:OPERATING )?SYSTEMS?)</v>
      </c>
      <c r="M65" s="28">
        <f>IF( IFERROR( FIND("$", Table2[[#This Row],[unsafeRegexGuess]]), 0) &lt;=0, 0, 1)</f>
        <v>1</v>
      </c>
      <c r="N65" s="28">
        <f>IF( IFERROR( FIND("$", Table2[[#This Row],[anyRegexGuess]]), 0) &lt;=0, 0, 1)</f>
        <v>1</v>
      </c>
      <c r="O65" s="29" t="str">
        <f>SUBSTITUTE( SUBSTITUTE( SUBSTITUTE(SUBSTITUTE(Table2[[#This Row],[unsafeRegexGuess]], ")", "$"), "*", "$"), "+", "$"), "?", "$")</f>
        <v>OS$$$:OPERATING $$SYSTEMS$</v>
      </c>
      <c r="P65" s="29" t="str">
        <f xml:space="preserve"> SUBSTITUTE( SUBSTITUTE( SUBSTITUTE(Table2[[#This Row],[regexTermInput]], "(", "$"), "|", "$"), "^", "$")</f>
        <v>OS$$?:OPERATING )?SYSTEMS?</v>
      </c>
      <c r="Q65"/>
      <c r="R65"/>
      <c r="S65"/>
      <c r="T65"/>
      <c r="U65"/>
      <c r="V65"/>
      <c r="X65"/>
    </row>
    <row r="66" spans="2:24" ht="16" hidden="1" customHeight="1">
      <c r="B66" s="25">
        <f>IF( Table2[[#This Row],[target_lang]] = "noted", 1, 0)</f>
        <v>0</v>
      </c>
      <c r="C66" s="25">
        <f xml:space="preserve"> IF( Table2[[#This Row],[target_lang]] = "notedoc", 1, 0)</f>
        <v>1</v>
      </c>
      <c r="D66" s="10" t="s">
        <v>167</v>
      </c>
      <c r="E66" s="10" t="s">
        <v>167</v>
      </c>
      <c r="F66" s="18" t="s">
        <v>231</v>
      </c>
      <c r="G66" s="19" t="s">
        <v>204</v>
      </c>
      <c r="H66" s="20" t="str">
        <f>Table2[[#This Row],[label]]</f>
        <v>UNIX</v>
      </c>
      <c r="I66" s="18" t="s">
        <v>226</v>
      </c>
      <c r="J66" s="26"/>
      <c r="K6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6" s="27" t="str">
        <f>"" &amp;  IF(Table2[[#This Row],[hasUnsafeRegex]] = 0, Table2[[#This Row],[regexTermInput]], "(?:" &amp; Table2[[#This Row],[regexTermInput]] &amp; ")")</f>
        <v>UNIX</v>
      </c>
      <c r="M66" s="28">
        <f>IF( IFERROR( FIND("$", Table2[[#This Row],[unsafeRegexGuess]]), 0) &lt;=0, 0, 1)</f>
        <v>0</v>
      </c>
      <c r="N66" s="28">
        <f>IF( IFERROR( FIND("$", Table2[[#This Row],[anyRegexGuess]]), 0) &lt;=0, 0, 1)</f>
        <v>0</v>
      </c>
      <c r="O66" s="29" t="str">
        <f>SUBSTITUTE( SUBSTITUTE( SUBSTITUTE(SUBSTITUTE(Table2[[#This Row],[unsafeRegexGuess]], ")", "$"), "*", "$"), "+", "$"), "?", "$")</f>
        <v>UNIX</v>
      </c>
      <c r="P66" s="29" t="str">
        <f xml:space="preserve"> SUBSTITUTE( SUBSTITUTE( SUBSTITUTE(Table2[[#This Row],[regexTermInput]], "(", "$"), "|", "$"), "^", "$")</f>
        <v>UNIX</v>
      </c>
      <c r="Q66"/>
      <c r="R66"/>
      <c r="S66"/>
      <c r="T66"/>
      <c r="U66"/>
      <c r="V66"/>
      <c r="X66"/>
    </row>
    <row r="67" spans="2:24" ht="16" hidden="1" customHeight="1">
      <c r="B67" s="25">
        <f>IF( Table2[[#This Row],[target_lang]] = "noted", 1, 0)</f>
        <v>0</v>
      </c>
      <c r="C67" s="25">
        <f xml:space="preserve"> IF( Table2[[#This Row],[target_lang]] = "notedoc", 1, 0)</f>
        <v>1</v>
      </c>
      <c r="D67" s="10" t="s">
        <v>167</v>
      </c>
      <c r="E67" s="10" t="s">
        <v>167</v>
      </c>
      <c r="F67" s="18" t="s">
        <v>231</v>
      </c>
      <c r="G67" s="19" t="s">
        <v>207</v>
      </c>
      <c r="H67" s="20" t="str">
        <f>Table2[[#This Row],[label]]</f>
        <v>WINDOWS</v>
      </c>
      <c r="I67" s="18" t="s">
        <v>226</v>
      </c>
      <c r="J67" s="26"/>
      <c r="K6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storage.type.class.${1:/downcase}._noted-doc.sys._level-{{level}}._feeling-ok.text.notedoc</v>
      </c>
      <c r="L67" s="27" t="str">
        <f>"" &amp;  IF(Table2[[#This Row],[hasUnsafeRegex]] = 0, Table2[[#This Row],[regexTermInput]], "(?:" &amp; Table2[[#This Row],[regexTermInput]] &amp; ")")</f>
        <v>WINDOWS</v>
      </c>
      <c r="M67" s="28">
        <f>IF( IFERROR( FIND("$", Table2[[#This Row],[unsafeRegexGuess]]), 0) &lt;=0, 0, 1)</f>
        <v>0</v>
      </c>
      <c r="N67" s="28">
        <f>IF( IFERROR( FIND("$", Table2[[#This Row],[anyRegexGuess]]), 0) &lt;=0, 0, 1)</f>
        <v>0</v>
      </c>
      <c r="O67" s="29" t="str">
        <f>SUBSTITUTE( SUBSTITUTE( SUBSTITUTE(SUBSTITUTE(Table2[[#This Row],[unsafeRegexGuess]], ")", "$"), "*", "$"), "+", "$"), "?", "$")</f>
        <v>WINDOWS</v>
      </c>
      <c r="P67" s="29" t="str">
        <f xml:space="preserve"> SUBSTITUTE( SUBSTITUTE( SUBSTITUTE(Table2[[#This Row],[regexTermInput]], "(", "$"), "|", "$"), "^", "$")</f>
        <v>WINDOWS</v>
      </c>
      <c r="Q67"/>
      <c r="R67"/>
      <c r="S67"/>
      <c r="T67"/>
      <c r="U67"/>
      <c r="V67"/>
      <c r="X67"/>
    </row>
    <row r="68" spans="2:24" ht="16" hidden="1" customHeight="1">
      <c r="B68" s="7">
        <f>IF( Table2[[#This Row],[target_lang]] = "noted", 1, 0)</f>
        <v>0</v>
      </c>
      <c r="C68" s="7">
        <f xml:space="preserve"> IF( Table2[[#This Row],[target_lang]] = "notedoc", 1, 0)</f>
        <v>0</v>
      </c>
      <c r="D68" s="10" t="s">
        <v>167</v>
      </c>
      <c r="E68" s="33" t="str">
        <f>IF( Table2[[#This Row],[label]] = "", "", IF( Table2[[#This Row],[origin]] = "notedoc",  Table2[[#This Row],[origin]],  "noted"))</f>
        <v/>
      </c>
      <c r="F68" s="18" t="s">
        <v>90</v>
      </c>
      <c r="G68" s="19"/>
      <c r="H68" s="20"/>
      <c r="I68" s="18"/>
      <c r="J68" s="22"/>
      <c r="K6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68" s="8" t="str">
        <f>"" &amp;  IF(Table2[[#This Row],[hasUnsafeRegex]] = 0, Table2[[#This Row],[regexTermInput]], "(?:" &amp; Table2[[#This Row],[regexTermInput]] &amp; ")")</f>
        <v/>
      </c>
      <c r="M68" s="11">
        <f>IF( IFERROR( FIND("$", Table2[[#This Row],[unsafeRegexGuess]]), 0) &lt;=0, 0, 1)</f>
        <v>0</v>
      </c>
      <c r="N68" s="11">
        <f>IF( IFERROR( FIND("$", Table2[[#This Row],[anyRegexGuess]]), 0) &lt;=0, 0, 1)</f>
        <v>0</v>
      </c>
      <c r="O68" s="13" t="str">
        <f>SUBSTITUTE( SUBSTITUTE( SUBSTITUTE(SUBSTITUTE(Table2[[#This Row],[unsafeRegexGuess]], ")", "$"), "*", "$"), "+", "$"), "?", "$")</f>
        <v/>
      </c>
      <c r="P68" s="13" t="str">
        <f xml:space="preserve"> SUBSTITUTE( SUBSTITUTE( SUBSTITUTE(Table2[[#This Row],[regexTermInput]], "(", "$"), "|", "$"), "^", "$")</f>
        <v/>
      </c>
      <c r="Q68"/>
      <c r="R68"/>
      <c r="S68"/>
      <c r="T68"/>
      <c r="U68"/>
      <c r="V68"/>
      <c r="X68"/>
    </row>
    <row r="69" spans="2:24" ht="16" hidden="1" customHeight="1">
      <c r="B69" s="7">
        <f>IF( Table2[[#This Row],[target_lang]] = "noted", 1, 0)</f>
        <v>0</v>
      </c>
      <c r="C69" s="7">
        <f xml:space="preserve"> IF( Table2[[#This Row],[target_lang]] = "notedoc", 1, 0)</f>
        <v>1</v>
      </c>
      <c r="D69" s="10" t="s">
        <v>167</v>
      </c>
      <c r="E69" s="10" t="str">
        <f>IF( Table2[[#This Row],[label]] = "", "", IF( Table2[[#This Row],[origin]] = "notedoc",  Table2[[#This Row],[origin]],  "noted"))</f>
        <v>notedoc</v>
      </c>
      <c r="F69" s="18" t="s">
        <v>90</v>
      </c>
      <c r="G69" s="19" t="s">
        <v>161</v>
      </c>
      <c r="H69" s="20" t="s">
        <v>106</v>
      </c>
      <c r="I69" s="18" t="s">
        <v>226</v>
      </c>
      <c r="J69" s="22"/>
      <c r="K6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69" s="8" t="str">
        <f>"" &amp;  IF(Table2[[#This Row],[hasUnsafeRegex]] = 0, Table2[[#This Row],[regexTermInput]], "(?:" &amp; Table2[[#This Row],[regexTermInput]] &amp; ")")</f>
        <v>GEMS?</v>
      </c>
      <c r="M69" s="11">
        <f>IF( IFERROR( FIND("$", Table2[[#This Row],[unsafeRegexGuess]]), 0) &lt;=0, 0, 1)</f>
        <v>0</v>
      </c>
      <c r="N69" s="11">
        <f>IF( IFERROR( FIND("$", Table2[[#This Row],[anyRegexGuess]]), 0) &lt;=0, 0, 1)</f>
        <v>1</v>
      </c>
      <c r="O69" s="13" t="str">
        <f>SUBSTITUTE( SUBSTITUTE( SUBSTITUTE(SUBSTITUTE(Table2[[#This Row],[unsafeRegexGuess]], ")", "$"), "*", "$"), "+", "$"), "?", "$")</f>
        <v>GEMS$</v>
      </c>
      <c r="P69" s="13" t="str">
        <f xml:space="preserve"> SUBSTITUTE( SUBSTITUTE( SUBSTITUTE(Table2[[#This Row],[regexTermInput]], "(", "$"), "|", "$"), "^", "$")</f>
        <v>GEMS?</v>
      </c>
      <c r="Q69"/>
      <c r="R69"/>
      <c r="S69"/>
      <c r="T69"/>
      <c r="U69"/>
      <c r="V69"/>
      <c r="X69"/>
    </row>
    <row r="70" spans="2:24" ht="16" hidden="1" customHeight="1">
      <c r="B70" s="7">
        <f>IF( Table2[[#This Row],[target_lang]] = "noted", 1, 0)</f>
        <v>0</v>
      </c>
      <c r="C70" s="7">
        <f xml:space="preserve"> IF( Table2[[#This Row],[target_lang]] = "notedoc", 1, 0)</f>
        <v>1</v>
      </c>
      <c r="D70" s="10" t="s">
        <v>167</v>
      </c>
      <c r="E70" s="10" t="str">
        <f>IF( Table2[[#This Row],[label]] = "", "", IF( Table2[[#This Row],[origin]] = "notedoc",  Table2[[#This Row],[origin]],  "noted"))</f>
        <v>notedoc</v>
      </c>
      <c r="F70" s="18" t="s">
        <v>90</v>
      </c>
      <c r="G70" s="19" t="s">
        <v>162</v>
      </c>
      <c r="H70" s="20" t="s">
        <v>171</v>
      </c>
      <c r="I70" s="18" t="s">
        <v>226</v>
      </c>
      <c r="J70" s="22"/>
      <c r="K7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0" s="8" t="str">
        <f>"" &amp;  IF(Table2[[#This Row],[hasUnsafeRegex]] = 0, Table2[[#This Row],[regexTermInput]], "(?:" &amp; Table2[[#This Row],[regexTermInput]] &amp; ")")</f>
        <v>(?:LIB(?:RARY)?)</v>
      </c>
      <c r="M70" s="11">
        <f>IF( IFERROR( FIND("$", Table2[[#This Row],[unsafeRegexGuess]]), 0) &lt;=0, 0, 1)</f>
        <v>1</v>
      </c>
      <c r="N70" s="11">
        <f>IF( IFERROR( FIND("$", Table2[[#This Row],[anyRegexGuess]]), 0) &lt;=0, 0, 1)</f>
        <v>1</v>
      </c>
      <c r="O70" s="13" t="str">
        <f>SUBSTITUTE( SUBSTITUTE( SUBSTITUTE(SUBSTITUTE(Table2[[#This Row],[unsafeRegexGuess]], ")", "$"), "*", "$"), "+", "$"), "?", "$")</f>
        <v>LIB$$:RARY$$</v>
      </c>
      <c r="P70" s="13" t="str">
        <f xml:space="preserve"> SUBSTITUTE( SUBSTITUTE( SUBSTITUTE(Table2[[#This Row],[regexTermInput]], "(", "$"), "|", "$"), "^", "$")</f>
        <v>LIB$?:RARY)?</v>
      </c>
      <c r="Q70"/>
      <c r="R70"/>
      <c r="S70"/>
      <c r="T70"/>
      <c r="U70"/>
      <c r="V70"/>
      <c r="X70"/>
    </row>
    <row r="71" spans="2:24" ht="16" hidden="1" customHeight="1">
      <c r="B71" s="7">
        <f>IF( Table2[[#This Row],[target_lang]] = "noted", 1, 0)</f>
        <v>0</v>
      </c>
      <c r="C71" s="7">
        <f xml:space="preserve"> IF( Table2[[#This Row],[target_lang]] = "notedoc", 1, 0)</f>
        <v>1</v>
      </c>
      <c r="D71" s="10" t="s">
        <v>167</v>
      </c>
      <c r="E71" s="10" t="str">
        <f>IF( Table2[[#This Row],[label]] = "", "", IF( Table2[[#This Row],[origin]] = "notedoc",  Table2[[#This Row],[origin]],  "noted"))</f>
        <v>notedoc</v>
      </c>
      <c r="F71" s="18" t="s">
        <v>90</v>
      </c>
      <c r="G71" s="19" t="s">
        <v>163</v>
      </c>
      <c r="H71" s="20" t="s">
        <v>105</v>
      </c>
      <c r="I71" s="18" t="s">
        <v>226</v>
      </c>
      <c r="J71" s="23"/>
      <c r="K7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1" s="10" t="str">
        <f>"" &amp;  IF(Table2[[#This Row],[hasUnsafeRegex]] = 0, Table2[[#This Row],[regexTermInput]], "(?:" &amp; Table2[[#This Row],[regexTermInput]] &amp; ")")</f>
        <v>MODULES?</v>
      </c>
      <c r="M71" s="11">
        <f>IF( IFERROR( FIND("$", Table2[[#This Row],[unsafeRegexGuess]]), 0) &lt;=0, 0, 1)</f>
        <v>0</v>
      </c>
      <c r="N71" s="11">
        <f>IF( IFERROR( FIND("$", Table2[[#This Row],[anyRegexGuess]]), 0) &lt;=0, 0, 1)</f>
        <v>1</v>
      </c>
      <c r="O71" s="13" t="str">
        <f>SUBSTITUTE( SUBSTITUTE( SUBSTITUTE(SUBSTITUTE(Table2[[#This Row],[unsafeRegexGuess]], ")", "$"), "*", "$"), "+", "$"), "?", "$")</f>
        <v>MODULES$</v>
      </c>
      <c r="P71" s="13" t="str">
        <f xml:space="preserve"> SUBSTITUTE( SUBSTITUTE( SUBSTITUTE(Table2[[#This Row],[regexTermInput]], "(", "$"), "|", "$"), "^", "$")</f>
        <v>MODULES?</v>
      </c>
      <c r="Q71"/>
      <c r="R71"/>
      <c r="S71"/>
      <c r="T71"/>
      <c r="U71"/>
      <c r="V71"/>
      <c r="X71"/>
    </row>
    <row r="72" spans="2:24" ht="16" hidden="1" customHeight="1">
      <c r="B72" s="7">
        <f>IF( Table2[[#This Row],[target_lang]] = "noted", 1, 0)</f>
        <v>0</v>
      </c>
      <c r="C72" s="7">
        <f xml:space="preserve"> IF( Table2[[#This Row],[target_lang]] = "notedoc", 1, 0)</f>
        <v>1</v>
      </c>
      <c r="D72" s="10" t="s">
        <v>167</v>
      </c>
      <c r="E72" s="10" t="str">
        <f>IF( Table2[[#This Row],[label]] = "", "", IF( Table2[[#This Row],[origin]] = "notedoc",  Table2[[#This Row],[origin]],  "noted"))</f>
        <v>notedoc</v>
      </c>
      <c r="F72" s="18" t="s">
        <v>90</v>
      </c>
      <c r="G72" s="19" t="s">
        <v>164</v>
      </c>
      <c r="H72" s="20" t="s">
        <v>131</v>
      </c>
      <c r="I72" s="18" t="s">
        <v>226</v>
      </c>
      <c r="J72" s="22"/>
      <c r="K7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2" s="8" t="str">
        <f>"" &amp;  IF(Table2[[#This Row],[hasUnsafeRegex]] = 0, Table2[[#This Row],[regexTermInput]], "(?:" &amp; Table2[[#This Row],[regexTermInput]] &amp; ")")</f>
        <v>(?:PKGS?|PACKAGES?)</v>
      </c>
      <c r="M72" s="11">
        <f>IF( IFERROR( FIND("$", Table2[[#This Row],[unsafeRegexGuess]]), 0) &lt;=0, 0, 1)</f>
        <v>1</v>
      </c>
      <c r="N72" s="11">
        <f>IF( IFERROR( FIND("$", Table2[[#This Row],[anyRegexGuess]]), 0) &lt;=0, 0, 1)</f>
        <v>1</v>
      </c>
      <c r="O72" s="13" t="str">
        <f>SUBSTITUTE( SUBSTITUTE( SUBSTITUTE(SUBSTITUTE(Table2[[#This Row],[unsafeRegexGuess]], ")", "$"), "*", "$"), "+", "$"), "?", "$")</f>
        <v>PKGS$$PACKAGES$</v>
      </c>
      <c r="P72" s="13" t="str">
        <f xml:space="preserve"> SUBSTITUTE( SUBSTITUTE( SUBSTITUTE(Table2[[#This Row],[regexTermInput]], "(", "$"), "|", "$"), "^", "$")</f>
        <v>PKGS?$PACKAGES?</v>
      </c>
      <c r="Q72"/>
      <c r="R72"/>
      <c r="S72"/>
      <c r="T72"/>
      <c r="U72"/>
      <c r="V72"/>
      <c r="X72"/>
    </row>
    <row r="73" spans="2:24" ht="16" hidden="1" customHeight="1">
      <c r="B73" s="7">
        <f>IF( Table2[[#This Row],[target_lang]] = "noted", 1, 0)</f>
        <v>0</v>
      </c>
      <c r="C73" s="7">
        <f xml:space="preserve"> IF( Table2[[#This Row],[target_lang]] = "notedoc", 1, 0)</f>
        <v>1</v>
      </c>
      <c r="D73" s="10" t="s">
        <v>167</v>
      </c>
      <c r="E73" s="10" t="str">
        <f>IF( Table2[[#This Row],[label]] = "", "", IF( Table2[[#This Row],[origin]] = "notedoc",  Table2[[#This Row],[origin]],  "noted"))</f>
        <v>notedoc</v>
      </c>
      <c r="F73" s="18" t="s">
        <v>90</v>
      </c>
      <c r="G73" s="19" t="s">
        <v>165</v>
      </c>
      <c r="H73" s="20" t="s">
        <v>104</v>
      </c>
      <c r="I73" s="18" t="s">
        <v>226</v>
      </c>
      <c r="J73" s="22"/>
      <c r="K7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storage.type.class.${1:/downcase}._noted-doc.unit._level-{{level}}._feeling-ok.text.notedoc</v>
      </c>
      <c r="L73" s="8" t="str">
        <f>"" &amp;  IF(Table2[[#This Row],[hasUnsafeRegex]] = 0, Table2[[#This Row],[regexTermInput]], "(?:" &amp; Table2[[#This Row],[regexTermInput]] &amp; ")")</f>
        <v>UNITS?</v>
      </c>
      <c r="M73" s="11">
        <f>IF( IFERROR( FIND("$", Table2[[#This Row],[unsafeRegexGuess]]), 0) &lt;=0, 0, 1)</f>
        <v>0</v>
      </c>
      <c r="N73" s="11">
        <f>IF( IFERROR( FIND("$", Table2[[#This Row],[anyRegexGuess]]), 0) &lt;=0, 0, 1)</f>
        <v>1</v>
      </c>
      <c r="O73" s="13" t="str">
        <f>SUBSTITUTE( SUBSTITUTE( SUBSTITUTE(SUBSTITUTE(Table2[[#This Row],[unsafeRegexGuess]], ")", "$"), "*", "$"), "+", "$"), "?", "$")</f>
        <v>UNITS$</v>
      </c>
      <c r="P73" s="13" t="str">
        <f xml:space="preserve"> SUBSTITUTE( SUBSTITUTE( SUBSTITUTE(Table2[[#This Row],[regexTermInput]], "(", "$"), "|", "$"), "^", "$")</f>
        <v>UNITS?</v>
      </c>
      <c r="Q73"/>
      <c r="R73"/>
      <c r="S73"/>
      <c r="T73"/>
      <c r="U73"/>
      <c r="V73"/>
      <c r="X73"/>
    </row>
    <row r="74" spans="2:24" ht="16" customHeight="1">
      <c r="B74" s="7">
        <f>IF( Table2[[#This Row],[target_lang]] = "noted", 1, 0)</f>
        <v>0</v>
      </c>
      <c r="C74" s="7">
        <f xml:space="preserve"> IF( Table2[[#This Row],[target_lang]] = "notedoc", 1, 0)</f>
        <v>0</v>
      </c>
      <c r="D74" s="10" t="s">
        <v>51</v>
      </c>
      <c r="E74" s="33" t="str">
        <f>IF( Table2[[#This Row],[label]] = "", "", IF( Table2[[#This Row],[origin]] = "notedoc",  Table2[[#This Row],[origin]],  "noted"))</f>
        <v/>
      </c>
      <c r="F74" s="18" t="s">
        <v>63</v>
      </c>
      <c r="G74" s="19" t="str">
        <f>""</f>
        <v/>
      </c>
      <c r="H74" s="20" t="str">
        <f>Table2[[#This Row],[label]]</f>
        <v/>
      </c>
      <c r="I74" s="18" t="str">
        <f>""</f>
        <v/>
      </c>
      <c r="J74" s="22"/>
      <c r="K7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74" s="8" t="str">
        <f>"" &amp;  IF(Table2[[#This Row],[hasUnsafeRegex]] = 0, Table2[[#This Row],[regexTermInput]], "(?:" &amp; Table2[[#This Row],[regexTermInput]] &amp; ")")</f>
        <v/>
      </c>
      <c r="M74" s="11">
        <f>IF( IFERROR( FIND("$", Table2[[#This Row],[unsafeRegexGuess]]), 0) &lt;=0, 0, 1)</f>
        <v>0</v>
      </c>
      <c r="N74" s="11">
        <f>IF( IFERROR( FIND("$", Table2[[#This Row],[anyRegexGuess]]), 0) &lt;=0, 0, 1)</f>
        <v>0</v>
      </c>
      <c r="O74" s="13" t="str">
        <f>SUBSTITUTE( SUBSTITUTE( SUBSTITUTE(SUBSTITUTE(Table2[[#This Row],[unsafeRegexGuess]], ")", "$"), "*", "$"), "+", "$"), "?", "$")</f>
        <v/>
      </c>
      <c r="P74" s="13" t="str">
        <f xml:space="preserve"> SUBSTITUTE( SUBSTITUTE( SUBSTITUTE(Table2[[#This Row],[regexTermInput]], "(", "$"), "|", "$"), "^", "$")</f>
        <v/>
      </c>
      <c r="Q74"/>
      <c r="R74"/>
      <c r="S74"/>
      <c r="T74"/>
      <c r="U74"/>
      <c r="V74"/>
      <c r="X74"/>
    </row>
    <row r="75" spans="2:24" ht="16" customHeight="1">
      <c r="B75" s="7">
        <f>IF( Table2[[#This Row],[target_lang]] = "noted", 1, 0)</f>
        <v>1</v>
      </c>
      <c r="C75" s="7">
        <f xml:space="preserve"> IF( Table2[[#This Row],[target_lang]] = "notedoc", 1, 0)</f>
        <v>0</v>
      </c>
      <c r="D75" s="10" t="s">
        <v>51</v>
      </c>
      <c r="E75" s="10" t="str">
        <f>IF( Table2[[#This Row],[label]] = "", "", IF( Table2[[#This Row],[origin]] = "notedoc",  Table2[[#This Row],[origin]],  "noted"))</f>
        <v>noted</v>
      </c>
      <c r="F75" s="18" t="s">
        <v>63</v>
      </c>
      <c r="G75" s="19" t="s">
        <v>77</v>
      </c>
      <c r="H75" s="20" t="str">
        <f>Table2[[#This Row],[label]]</f>
        <v>CHANGE</v>
      </c>
      <c r="I75" s="18" t="s">
        <v>302</v>
      </c>
      <c r="J75" s="22"/>
      <c r="K7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5" s="8" t="str">
        <f>"" &amp;  IF(Table2[[#This Row],[hasUnsafeRegex]] = 0, Table2[[#This Row],[regexTermInput]], "(?:" &amp; Table2[[#This Row],[regexTermInput]] &amp; ")")</f>
        <v>CHANGE</v>
      </c>
      <c r="M75" s="11">
        <f>IF( IFERROR( FIND("$", Table2[[#This Row],[unsafeRegexGuess]]), 0) &lt;=0, 0, 1)</f>
        <v>0</v>
      </c>
      <c r="N75" s="11">
        <f>IF( IFERROR( FIND("$", Table2[[#This Row],[anyRegexGuess]]), 0) &lt;=0, 0, 1)</f>
        <v>0</v>
      </c>
      <c r="O75" s="13" t="str">
        <f>SUBSTITUTE( SUBSTITUTE( SUBSTITUTE(SUBSTITUTE(Table2[[#This Row],[unsafeRegexGuess]], ")", "$"), "*", "$"), "+", "$"), "?", "$")</f>
        <v>CHANGE</v>
      </c>
      <c r="P75" s="13" t="str">
        <f xml:space="preserve"> SUBSTITUTE( SUBSTITUTE( SUBSTITUTE(Table2[[#This Row],[regexTermInput]], "(", "$"), "|", "$"), "^", "$")</f>
        <v>CHANGE</v>
      </c>
      <c r="Q75"/>
      <c r="R75"/>
      <c r="S75"/>
      <c r="T75"/>
      <c r="U75"/>
      <c r="V75"/>
      <c r="X75"/>
    </row>
    <row r="76" spans="2:24" ht="16" customHeight="1">
      <c r="B76" s="7">
        <f>IF( Table2[[#This Row],[target_lang]] = "noted", 1, 0)</f>
        <v>1</v>
      </c>
      <c r="C76" s="7">
        <f xml:space="preserve"> IF( Table2[[#This Row],[target_lang]] = "notedoc", 1, 0)</f>
        <v>0</v>
      </c>
      <c r="D76" s="10" t="s">
        <v>51</v>
      </c>
      <c r="E76" s="10" t="str">
        <f>IF( Table2[[#This Row],[label]] = "", "", IF( Table2[[#This Row],[origin]] = "notedoc",  Table2[[#This Row],[origin]],  "noted"))</f>
        <v>noted</v>
      </c>
      <c r="F76" s="18" t="s">
        <v>63</v>
      </c>
      <c r="G76" s="19" t="s">
        <v>52</v>
      </c>
      <c r="H76" s="20" t="str">
        <f>Table2[[#This Row],[label]]</f>
        <v>DECIDE</v>
      </c>
      <c r="I76" s="18" t="s">
        <v>302</v>
      </c>
      <c r="J76" s="22"/>
      <c r="K7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6" s="8" t="str">
        <f>"" &amp;  IF(Table2[[#This Row],[hasUnsafeRegex]] = 0, Table2[[#This Row],[regexTermInput]], "(?:" &amp; Table2[[#This Row],[regexTermInput]] &amp; ")")</f>
        <v>DECIDE</v>
      </c>
      <c r="M76" s="11">
        <f>IF( IFERROR( FIND("$", Table2[[#This Row],[unsafeRegexGuess]]), 0) &lt;=0, 0, 1)</f>
        <v>0</v>
      </c>
      <c r="N76" s="11">
        <f>IF( IFERROR( FIND("$", Table2[[#This Row],[anyRegexGuess]]), 0) &lt;=0, 0, 1)</f>
        <v>0</v>
      </c>
      <c r="O76" s="13" t="str">
        <f>SUBSTITUTE( SUBSTITUTE( SUBSTITUTE(SUBSTITUTE(Table2[[#This Row],[unsafeRegexGuess]], ")", "$"), "*", "$"), "+", "$"), "?", "$")</f>
        <v>DECIDE</v>
      </c>
      <c r="P76" s="13" t="str">
        <f xml:space="preserve"> SUBSTITUTE( SUBSTITUTE( SUBSTITUTE(Table2[[#This Row],[regexTermInput]], "(", "$"), "|", "$"), "^", "$")</f>
        <v>DECIDE</v>
      </c>
      <c r="Q76"/>
      <c r="R76"/>
      <c r="S76"/>
      <c r="T76"/>
      <c r="U76"/>
      <c r="V76"/>
      <c r="X76"/>
    </row>
    <row r="77" spans="2:24" ht="16" customHeight="1">
      <c r="B77" s="7">
        <f>IF( Table2[[#This Row],[target_lang]] = "noted", 1, 0)</f>
        <v>1</v>
      </c>
      <c r="C77" s="7">
        <f xml:space="preserve"> IF( Table2[[#This Row],[target_lang]] = "notedoc", 1, 0)</f>
        <v>0</v>
      </c>
      <c r="D77" s="10" t="s">
        <v>51</v>
      </c>
      <c r="E77" s="10" t="str">
        <f>IF( Table2[[#This Row],[label]] = "", "", IF( Table2[[#This Row],[origin]] = "notedoc",  Table2[[#This Row],[origin]],  "noted"))</f>
        <v>noted</v>
      </c>
      <c r="F77" s="18" t="s">
        <v>63</v>
      </c>
      <c r="G77" s="19" t="s">
        <v>82</v>
      </c>
      <c r="H77" s="20" t="str">
        <f>Table2[[#This Row],[label]]</f>
        <v>DUMP</v>
      </c>
      <c r="I77" s="18" t="s">
        <v>305</v>
      </c>
      <c r="J77" s="22"/>
      <c r="K7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storage.type.class.${1:/downcase}._noted-intent._level-{{level}}._feeling-bland.dull.text.noted</v>
      </c>
      <c r="L77" s="8" t="str">
        <f>"" &amp;  IF(Table2[[#This Row],[hasUnsafeRegex]] = 0, Table2[[#This Row],[regexTermInput]], "(?:" &amp; Table2[[#This Row],[regexTermInput]] &amp; ")")</f>
        <v>DUMP</v>
      </c>
      <c r="M77" s="11">
        <f>IF( IFERROR( FIND("$", Table2[[#This Row],[unsafeRegexGuess]]), 0) &lt;=0, 0, 1)</f>
        <v>0</v>
      </c>
      <c r="N77" s="11">
        <f>IF( IFERROR( FIND("$", Table2[[#This Row],[anyRegexGuess]]), 0) &lt;=0, 0, 1)</f>
        <v>0</v>
      </c>
      <c r="O77" s="13" t="str">
        <f>SUBSTITUTE( SUBSTITUTE( SUBSTITUTE(SUBSTITUTE(Table2[[#This Row],[unsafeRegexGuess]], ")", "$"), "*", "$"), "+", "$"), "?", "$")</f>
        <v>DUMP</v>
      </c>
      <c r="P77" s="13" t="str">
        <f xml:space="preserve"> SUBSTITUTE( SUBSTITUTE( SUBSTITUTE(Table2[[#This Row],[regexTermInput]], "(", "$"), "|", "$"), "^", "$")</f>
        <v>DUMP</v>
      </c>
      <c r="Q77"/>
      <c r="R77"/>
      <c r="S77"/>
      <c r="T77"/>
      <c r="U77"/>
      <c r="V77"/>
      <c r="X77"/>
    </row>
    <row r="78" spans="2:24" ht="16" customHeight="1">
      <c r="B78" s="7">
        <f>IF( Table2[[#This Row],[target_lang]] = "noted", 1, 0)</f>
        <v>1</v>
      </c>
      <c r="C78" s="7">
        <f xml:space="preserve"> IF( Table2[[#This Row],[target_lang]] = "notedoc", 1, 0)</f>
        <v>0</v>
      </c>
      <c r="D78" s="10" t="s">
        <v>51</v>
      </c>
      <c r="E78" s="10" t="str">
        <f>IF( Table2[[#This Row],[label]] = "", "", IF( Table2[[#This Row],[origin]] = "notedoc",  Table2[[#This Row],[origin]],  "noted"))</f>
        <v>noted</v>
      </c>
      <c r="F78" s="18" t="s">
        <v>63</v>
      </c>
      <c r="G78" s="19" t="s">
        <v>49</v>
      </c>
      <c r="H78" s="20" t="str">
        <f>Table2[[#This Row],[label]]</f>
        <v>IMPROVE</v>
      </c>
      <c r="I78" s="18" t="s">
        <v>302</v>
      </c>
      <c r="J78" s="22"/>
      <c r="K7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78" s="8" t="str">
        <f>"" &amp;  IF(Table2[[#This Row],[hasUnsafeRegex]] = 0, Table2[[#This Row],[regexTermInput]], "(?:" &amp; Table2[[#This Row],[regexTermInput]] &amp; ")")</f>
        <v>IMPROVE</v>
      </c>
      <c r="M78" s="11">
        <f>IF( IFERROR( FIND("$", Table2[[#This Row],[unsafeRegexGuess]]), 0) &lt;=0, 0, 1)</f>
        <v>0</v>
      </c>
      <c r="N78" s="11">
        <f>IF( IFERROR( FIND("$", Table2[[#This Row],[anyRegexGuess]]), 0) &lt;=0, 0, 1)</f>
        <v>0</v>
      </c>
      <c r="O78" s="13" t="str">
        <f>SUBSTITUTE( SUBSTITUTE( SUBSTITUTE(SUBSTITUTE(Table2[[#This Row],[unsafeRegexGuess]], ")", "$"), "*", "$"), "+", "$"), "?", "$")</f>
        <v>IMPROVE</v>
      </c>
      <c r="P78" s="13" t="str">
        <f xml:space="preserve"> SUBSTITUTE( SUBSTITUTE( SUBSTITUTE(Table2[[#This Row],[regexTermInput]], "(", "$"), "|", "$"), "^", "$")</f>
        <v>IMPROVE</v>
      </c>
      <c r="Q78"/>
      <c r="R78"/>
      <c r="S78"/>
      <c r="T78"/>
      <c r="U78"/>
      <c r="V78"/>
      <c r="X78"/>
    </row>
    <row r="79" spans="2:24" ht="16" customHeight="1">
      <c r="B79" s="7">
        <f>IF( Table2[[#This Row],[target_lang]] = "noted", 1, 0)</f>
        <v>1</v>
      </c>
      <c r="C79" s="7">
        <f xml:space="preserve"> IF( Table2[[#This Row],[target_lang]] = "notedoc", 1, 0)</f>
        <v>0</v>
      </c>
      <c r="D79" s="10" t="s">
        <v>51</v>
      </c>
      <c r="E79" s="10" t="str">
        <f>IF( Table2[[#This Row],[label]] = "", "", IF( Table2[[#This Row],[origin]] = "notedoc",  Table2[[#This Row],[origin]],  "noted"))</f>
        <v>noted</v>
      </c>
      <c r="F79" s="18" t="s">
        <v>63</v>
      </c>
      <c r="G79" s="19" t="s">
        <v>5</v>
      </c>
      <c r="H79" s="20" t="str">
        <f>Table2[[#This Row],[label]]</f>
        <v>LOG</v>
      </c>
      <c r="I79" s="18" t="s">
        <v>305</v>
      </c>
      <c r="J79" s="22"/>
      <c r="K7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storage.type.class.${1:/downcase}._noted-intent._level-{{level}}._feeling-bland.dull.text.noted</v>
      </c>
      <c r="L79" s="8" t="str">
        <f>"" &amp;  IF(Table2[[#This Row],[hasUnsafeRegex]] = 0, Table2[[#This Row],[regexTermInput]], "(?:" &amp; Table2[[#This Row],[regexTermInput]] &amp; ")")</f>
        <v>LOG</v>
      </c>
      <c r="M79" s="11">
        <f>IF( IFERROR( FIND("$", Table2[[#This Row],[unsafeRegexGuess]]), 0) &lt;=0, 0, 1)</f>
        <v>0</v>
      </c>
      <c r="N79" s="11">
        <f>IF( IFERROR( FIND("$", Table2[[#This Row],[anyRegexGuess]]), 0) &lt;=0, 0, 1)</f>
        <v>0</v>
      </c>
      <c r="O79" s="13" t="str">
        <f>SUBSTITUTE( SUBSTITUTE( SUBSTITUTE(SUBSTITUTE(Table2[[#This Row],[unsafeRegexGuess]], ")", "$"), "*", "$"), "+", "$"), "?", "$")</f>
        <v>LOG</v>
      </c>
      <c r="P79" s="13" t="str">
        <f xml:space="preserve"> SUBSTITUTE( SUBSTITUTE( SUBSTITUTE(Table2[[#This Row],[regexTermInput]], "(", "$"), "|", "$"), "^", "$")</f>
        <v>LOG</v>
      </c>
      <c r="Q79"/>
      <c r="R79"/>
      <c r="S79"/>
      <c r="T79"/>
      <c r="U79"/>
      <c r="V79"/>
      <c r="X79"/>
    </row>
    <row r="80" spans="2:24" ht="16" customHeight="1">
      <c r="B80" s="7">
        <f>IF( Table2[[#This Row],[target_lang]] = "noted", 1, 0)</f>
        <v>1</v>
      </c>
      <c r="C80" s="7">
        <f xml:space="preserve"> IF( Table2[[#This Row],[target_lang]] = "notedoc", 1, 0)</f>
        <v>0</v>
      </c>
      <c r="D80" s="10" t="s">
        <v>43</v>
      </c>
      <c r="E80" s="10" t="str">
        <f>IF( Table2[[#This Row],[label]] = "", "", IF( Table2[[#This Row],[origin]] = "notedoc",  Table2[[#This Row],[origin]],  "noted"))</f>
        <v>noted</v>
      </c>
      <c r="F80" s="18" t="s">
        <v>63</v>
      </c>
      <c r="G80" s="19" t="s">
        <v>18</v>
      </c>
      <c r="H80" s="20" t="str">
        <f>Table2[[#This Row],[label]]</f>
        <v>OPTIMIZE</v>
      </c>
      <c r="I80" s="18" t="s">
        <v>302</v>
      </c>
      <c r="J80" s="22"/>
      <c r="K8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0" s="8" t="str">
        <f>"" &amp;  IF(Table2[[#This Row],[hasUnsafeRegex]] = 0, Table2[[#This Row],[regexTermInput]], "(?:" &amp; Table2[[#This Row],[regexTermInput]] &amp; ")")</f>
        <v>OPTIMIZE</v>
      </c>
      <c r="M80" s="11">
        <f>IF( IFERROR( FIND("$", Table2[[#This Row],[unsafeRegexGuess]]), 0) &lt;=0, 0, 1)</f>
        <v>0</v>
      </c>
      <c r="N80" s="11">
        <f>IF( IFERROR( FIND("$", Table2[[#This Row],[anyRegexGuess]]), 0) &lt;=0, 0, 1)</f>
        <v>0</v>
      </c>
      <c r="O80" s="13" t="str">
        <f>SUBSTITUTE( SUBSTITUTE( SUBSTITUTE(SUBSTITUTE(Table2[[#This Row],[unsafeRegexGuess]], ")", "$"), "*", "$"), "+", "$"), "?", "$")</f>
        <v>OPTIMIZE</v>
      </c>
      <c r="P80" s="13" t="str">
        <f xml:space="preserve"> SUBSTITUTE( SUBSTITUTE( SUBSTITUTE(Table2[[#This Row],[regexTermInput]], "(", "$"), "|", "$"), "^", "$")</f>
        <v>OPTIMIZE</v>
      </c>
      <c r="Q80"/>
      <c r="R80"/>
      <c r="S80"/>
      <c r="T80"/>
      <c r="U80"/>
      <c r="V80"/>
      <c r="X80"/>
    </row>
    <row r="81" spans="2:24" ht="16" customHeight="1">
      <c r="B81" s="7">
        <f>IF( Table2[[#This Row],[target_lang]] = "noted", 1, 0)</f>
        <v>1</v>
      </c>
      <c r="C81" s="7">
        <f xml:space="preserve"> IF( Table2[[#This Row],[target_lang]] = "notedoc", 1, 0)</f>
        <v>0</v>
      </c>
      <c r="D81" s="10" t="s">
        <v>48</v>
      </c>
      <c r="E81" s="10" t="str">
        <f>IF( Table2[[#This Row],[label]] = "", "", IF( Table2[[#This Row],[origin]] = "notedoc",  Table2[[#This Row],[origin]],  "noted"))</f>
        <v>noted</v>
      </c>
      <c r="F81" s="18" t="s">
        <v>63</v>
      </c>
      <c r="G81" s="19" t="s">
        <v>19</v>
      </c>
      <c r="H81" s="20" t="str">
        <f>Table2[[#This Row],[label]]</f>
        <v>REFACTOR</v>
      </c>
      <c r="I81" s="18" t="s">
        <v>302</v>
      </c>
      <c r="J81" s="22"/>
      <c r="K8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1" s="8" t="str">
        <f>"" &amp;  IF(Table2[[#This Row],[hasUnsafeRegex]] = 0, Table2[[#This Row],[regexTermInput]], "(?:" &amp; Table2[[#This Row],[regexTermInput]] &amp; ")")</f>
        <v>REFACTOR</v>
      </c>
      <c r="M81" s="11">
        <f>IF( IFERROR( FIND("$", Table2[[#This Row],[unsafeRegexGuess]]), 0) &lt;=0, 0, 1)</f>
        <v>0</v>
      </c>
      <c r="N81" s="11">
        <f>IF( IFERROR( FIND("$", Table2[[#This Row],[anyRegexGuess]]), 0) &lt;=0, 0, 1)</f>
        <v>0</v>
      </c>
      <c r="O81" s="13" t="str">
        <f>SUBSTITUTE( SUBSTITUTE( SUBSTITUTE(SUBSTITUTE(Table2[[#This Row],[unsafeRegexGuess]], ")", "$"), "*", "$"), "+", "$"), "?", "$")</f>
        <v>REFACTOR</v>
      </c>
      <c r="P81" s="13" t="str">
        <f xml:space="preserve"> SUBSTITUTE( SUBSTITUTE( SUBSTITUTE(Table2[[#This Row],[regexTermInput]], "(", "$"), "|", "$"), "^", "$")</f>
        <v>REFACTOR</v>
      </c>
      <c r="Q81"/>
      <c r="R81"/>
      <c r="S81"/>
      <c r="T81"/>
      <c r="U81"/>
      <c r="V81"/>
      <c r="X81"/>
    </row>
    <row r="82" spans="2:24" ht="16" customHeight="1">
      <c r="B82" s="7">
        <f>IF( Table2[[#This Row],[target_lang]] = "noted", 1, 0)</f>
        <v>1</v>
      </c>
      <c r="C82" s="7">
        <f xml:space="preserve"> IF( Table2[[#This Row],[target_lang]] = "notedoc", 1, 0)</f>
        <v>0</v>
      </c>
      <c r="D82" s="10" t="s">
        <v>48</v>
      </c>
      <c r="E82" s="10" t="str">
        <f>IF( Table2[[#This Row],[label]] = "", "", IF( Table2[[#This Row],[origin]] = "notedoc",  Table2[[#This Row],[origin]],  "noted"))</f>
        <v>noted</v>
      </c>
      <c r="F82" s="18" t="s">
        <v>63</v>
      </c>
      <c r="G82" s="19" t="s">
        <v>20</v>
      </c>
      <c r="H82" s="20" t="str">
        <f>Table2[[#This Row],[label]]</f>
        <v>REMOVE</v>
      </c>
      <c r="I82" s="18" t="s">
        <v>297</v>
      </c>
      <c r="J82" s="22"/>
      <c r="K8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storage.type.class.${1:/downcase}._noted-intent._level-{{level}}._feeling-fishy.text.noted</v>
      </c>
      <c r="L82" s="8" t="str">
        <f>"" &amp;  IF(Table2[[#This Row],[hasUnsafeRegex]] = 0, Table2[[#This Row],[regexTermInput]], "(?:" &amp; Table2[[#This Row],[regexTermInput]] &amp; ")")</f>
        <v>REMOVE</v>
      </c>
      <c r="M82" s="11">
        <f>IF( IFERROR( FIND("$", Table2[[#This Row],[unsafeRegexGuess]]), 0) &lt;=0, 0, 1)</f>
        <v>0</v>
      </c>
      <c r="N82" s="11">
        <f>IF( IFERROR( FIND("$", Table2[[#This Row],[anyRegexGuess]]), 0) &lt;=0, 0, 1)</f>
        <v>0</v>
      </c>
      <c r="O82" s="13" t="str">
        <f>SUBSTITUTE( SUBSTITUTE( SUBSTITUTE(SUBSTITUTE(Table2[[#This Row],[unsafeRegexGuess]], ")", "$"), "*", "$"), "+", "$"), "?", "$")</f>
        <v>REMOVE</v>
      </c>
      <c r="P82" s="13" t="str">
        <f xml:space="preserve"> SUBSTITUTE( SUBSTITUTE( SUBSTITUTE(Table2[[#This Row],[regexTermInput]], "(", "$"), "|", "$"), "^", "$")</f>
        <v>REMOVE</v>
      </c>
      <c r="Q82"/>
      <c r="R82"/>
      <c r="S82"/>
      <c r="T82"/>
      <c r="U82"/>
      <c r="V82"/>
      <c r="X82"/>
    </row>
    <row r="83" spans="2:24" ht="16" customHeight="1">
      <c r="B83" s="7">
        <f>IF( Table2[[#This Row],[target_lang]] = "noted", 1, 0)</f>
        <v>1</v>
      </c>
      <c r="C83" s="7">
        <f xml:space="preserve"> IF( Table2[[#This Row],[target_lang]] = "notedoc", 1, 0)</f>
        <v>0</v>
      </c>
      <c r="D83" s="10" t="s">
        <v>51</v>
      </c>
      <c r="E83" s="10" t="str">
        <f>IF( Table2[[#This Row],[label]] = "", "", IF( Table2[[#This Row],[origin]] = "notedoc",  Table2[[#This Row],[origin]],  "noted"))</f>
        <v>noted</v>
      </c>
      <c r="F83" s="18" t="s">
        <v>63</v>
      </c>
      <c r="G83" s="19" t="s">
        <v>62</v>
      </c>
      <c r="H83" s="20" t="str">
        <f>Table2[[#This Row],[label]]</f>
        <v>REVERT</v>
      </c>
      <c r="I83" s="18" t="s">
        <v>297</v>
      </c>
      <c r="J83" s="22"/>
      <c r="K8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storage.type.class.${1:/downcase}._noted-intent._level-{{level}}._feeling-fishy.text.noted</v>
      </c>
      <c r="L83" s="8" t="str">
        <f>"" &amp;  IF(Table2[[#This Row],[hasUnsafeRegex]] = 0, Table2[[#This Row],[regexTermInput]], "(?:" &amp; Table2[[#This Row],[regexTermInput]] &amp; ")")</f>
        <v>REVERT</v>
      </c>
      <c r="M83" s="11">
        <f>IF( IFERROR( FIND("$", Table2[[#This Row],[unsafeRegexGuess]]), 0) &lt;=0, 0, 1)</f>
        <v>0</v>
      </c>
      <c r="N83" s="11">
        <f>IF( IFERROR( FIND("$", Table2[[#This Row],[anyRegexGuess]]), 0) &lt;=0, 0, 1)</f>
        <v>0</v>
      </c>
      <c r="O83" s="13" t="str">
        <f>SUBSTITUTE( SUBSTITUTE( SUBSTITUTE(SUBSTITUTE(Table2[[#This Row],[unsafeRegexGuess]], ")", "$"), "*", "$"), "+", "$"), "?", "$")</f>
        <v>REVERT</v>
      </c>
      <c r="P83" s="13" t="str">
        <f xml:space="preserve"> SUBSTITUTE( SUBSTITUTE( SUBSTITUTE(Table2[[#This Row],[regexTermInput]], "(", "$"), "|", "$"), "^", "$")</f>
        <v>REVERT</v>
      </c>
      <c r="Q83"/>
      <c r="R83"/>
      <c r="S83"/>
      <c r="T83"/>
      <c r="U83"/>
      <c r="V83"/>
      <c r="X83"/>
    </row>
    <row r="84" spans="2:24" ht="16" customHeight="1">
      <c r="B84" s="7">
        <f>IF( Table2[[#This Row],[target_lang]] = "noted", 1, 0)</f>
        <v>1</v>
      </c>
      <c r="C84" s="7">
        <f xml:space="preserve"> IF( Table2[[#This Row],[target_lang]] = "notedoc", 1, 0)</f>
        <v>0</v>
      </c>
      <c r="D84" s="10" t="s">
        <v>43</v>
      </c>
      <c r="E84" s="10" t="str">
        <f>IF( Table2[[#This Row],[label]] = "", "", IF( Table2[[#This Row],[origin]] = "notedoc",  Table2[[#This Row],[origin]],  "noted"))</f>
        <v>noted</v>
      </c>
      <c r="F84" s="18" t="s">
        <v>63</v>
      </c>
      <c r="G84" s="19" t="s">
        <v>21</v>
      </c>
      <c r="H84" s="20" t="str">
        <f>Table2[[#This Row],[label]]</f>
        <v>REVIEW</v>
      </c>
      <c r="I84" s="18" t="s">
        <v>56</v>
      </c>
      <c r="J84" s="22"/>
      <c r="K8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storage.type.class.${1:/downcase}._noted-intent._level-{{level}}._feeling-alert.text.noted</v>
      </c>
      <c r="L84" s="8" t="str">
        <f>"" &amp;  IF(Table2[[#This Row],[hasUnsafeRegex]] = 0, Table2[[#This Row],[regexTermInput]], "(?:" &amp; Table2[[#This Row],[regexTermInput]] &amp; ")")</f>
        <v>REVIEW</v>
      </c>
      <c r="M84" s="11">
        <f>IF( IFERROR( FIND("$", Table2[[#This Row],[unsafeRegexGuess]]), 0) &lt;=0, 0, 1)</f>
        <v>0</v>
      </c>
      <c r="N84" s="11">
        <f>IF( IFERROR( FIND("$", Table2[[#This Row],[anyRegexGuess]]), 0) &lt;=0, 0, 1)</f>
        <v>0</v>
      </c>
      <c r="O84" s="13" t="str">
        <f>SUBSTITUTE( SUBSTITUTE( SUBSTITUTE(SUBSTITUTE(Table2[[#This Row],[unsafeRegexGuess]], ")", "$"), "*", "$"), "+", "$"), "?", "$")</f>
        <v>REVIEW</v>
      </c>
      <c r="P84" s="13" t="str">
        <f xml:space="preserve"> SUBSTITUTE( SUBSTITUTE( SUBSTITUTE(Table2[[#This Row],[regexTermInput]], "(", "$"), "|", "$"), "^", "$")</f>
        <v>REVIEW</v>
      </c>
      <c r="Q84"/>
      <c r="R84"/>
      <c r="S84"/>
      <c r="T84"/>
      <c r="U84"/>
      <c r="V84"/>
      <c r="X84"/>
    </row>
    <row r="85" spans="2:24" ht="16" customHeight="1">
      <c r="B85" s="7">
        <f>IF( Table2[[#This Row],[target_lang]] = "noted", 1, 0)</f>
        <v>1</v>
      </c>
      <c r="C85" s="7">
        <f xml:space="preserve"> IF( Table2[[#This Row],[target_lang]] = "notedoc", 1, 0)</f>
        <v>0</v>
      </c>
      <c r="D85" s="10" t="s">
        <v>51</v>
      </c>
      <c r="E85" s="10" t="str">
        <f>IF( Table2[[#This Row],[label]] = "", "", IF( Table2[[#This Row],[origin]] = "notedoc",  Table2[[#This Row],[origin]],  "noted"))</f>
        <v>noted</v>
      </c>
      <c r="F85" s="18" t="s">
        <v>63</v>
      </c>
      <c r="G85" s="19" t="s">
        <v>53</v>
      </c>
      <c r="H85" s="20" t="str">
        <f>Table2[[#This Row],[label]]</f>
        <v>TEST</v>
      </c>
      <c r="I85" s="18" t="s">
        <v>302</v>
      </c>
      <c r="J85" s="22"/>
      <c r="K8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storage.type.class.${1:/downcase}._noted-intent._level-{{level}}._feeling-eager.text.noted</v>
      </c>
      <c r="L85" s="8" t="str">
        <f>"" &amp;  IF(Table2[[#This Row],[hasUnsafeRegex]] = 0, Table2[[#This Row],[regexTermInput]], "(?:" &amp; Table2[[#This Row],[regexTermInput]] &amp; ")")</f>
        <v>TEST</v>
      </c>
      <c r="M85" s="11">
        <f>IF( IFERROR( FIND("$", Table2[[#This Row],[unsafeRegexGuess]]), 0) &lt;=0, 0, 1)</f>
        <v>0</v>
      </c>
      <c r="N85" s="11">
        <f>IF( IFERROR( FIND("$", Table2[[#This Row],[anyRegexGuess]]), 0) &lt;=0, 0, 1)</f>
        <v>0</v>
      </c>
      <c r="O85" s="13" t="str">
        <f>SUBSTITUTE( SUBSTITUTE( SUBSTITUTE(SUBSTITUTE(Table2[[#This Row],[unsafeRegexGuess]], ")", "$"), "*", "$"), "+", "$"), "?", "$")</f>
        <v>TEST</v>
      </c>
      <c r="P85" s="13" t="str">
        <f xml:space="preserve"> SUBSTITUTE( SUBSTITUTE( SUBSTITUTE(Table2[[#This Row],[regexTermInput]], "(", "$"), "|", "$"), "^", "$")</f>
        <v>TEST</v>
      </c>
      <c r="Q85"/>
      <c r="R85"/>
      <c r="S85"/>
      <c r="T85"/>
      <c r="U85"/>
      <c r="V85"/>
      <c r="X85"/>
    </row>
    <row r="86" spans="2:24">
      <c r="B86" s="7">
        <f>IF( Table2[[#This Row],[target_lang]] = "noted", 1, 0)</f>
        <v>0</v>
      </c>
      <c r="C86" s="7">
        <f xml:space="preserve"> IF( Table2[[#This Row],[target_lang]] = "notedoc", 1, 0)</f>
        <v>0</v>
      </c>
      <c r="D86" s="10" t="s">
        <v>51</v>
      </c>
      <c r="E86" s="10" t="str">
        <f>IF( Table2[[#This Row],[label]] = "", "", IF( Table2[[#This Row],[origin]] = "notedoc",  Table2[[#This Row],[origin]],  "noted"))</f>
        <v/>
      </c>
      <c r="F86" s="18" t="s">
        <v>57</v>
      </c>
      <c r="G86" s="19" t="str">
        <f>""</f>
        <v/>
      </c>
      <c r="H86" s="20" t="str">
        <f>Table2[[#This Row],[label]]</f>
        <v/>
      </c>
      <c r="I86" s="18" t="str">
        <f>""</f>
        <v/>
      </c>
      <c r="J86" s="22"/>
      <c r="K8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86" s="8" t="str">
        <f>"" &amp;  IF(Table2[[#This Row],[hasUnsafeRegex]] = 0, Table2[[#This Row],[regexTermInput]], "(?:" &amp; Table2[[#This Row],[regexTermInput]] &amp; ")")</f>
        <v/>
      </c>
      <c r="M86" s="11">
        <f>IF( IFERROR( FIND("$", Table2[[#This Row],[unsafeRegexGuess]]), 0) &lt;=0, 0, 1)</f>
        <v>0</v>
      </c>
      <c r="N86" s="11">
        <f>IF( IFERROR( FIND("$", Table2[[#This Row],[anyRegexGuess]]), 0) &lt;=0, 0, 1)</f>
        <v>0</v>
      </c>
      <c r="O86" s="13" t="str">
        <f>SUBSTITUTE( SUBSTITUTE( SUBSTITUTE(SUBSTITUTE(Table2[[#This Row],[unsafeRegexGuess]], ")", "$"), "*", "$"), "+", "$"), "?", "$")</f>
        <v/>
      </c>
      <c r="P86" s="13" t="str">
        <f xml:space="preserve"> SUBSTITUTE( SUBSTITUTE( SUBSTITUTE(Table2[[#This Row],[regexTermInput]], "(", "$"), "|", "$"), "^", "$")</f>
        <v/>
      </c>
      <c r="Q86"/>
      <c r="R86"/>
      <c r="S86"/>
      <c r="T86"/>
      <c r="U86"/>
      <c r="V86"/>
      <c r="X86"/>
    </row>
    <row r="87" spans="2:24">
      <c r="B87" s="7">
        <f>IF( Table2[[#This Row],[target_lang]] = "noted", 1, 0)</f>
        <v>1</v>
      </c>
      <c r="C87" s="7">
        <f xml:space="preserve"> IF( Table2[[#This Row],[target_lang]] = "notedoc", 1, 0)</f>
        <v>0</v>
      </c>
      <c r="D87" s="10" t="s">
        <v>48</v>
      </c>
      <c r="E87" s="10" t="str">
        <f>IF( Table2[[#This Row],[label]] = "", "", IF( Table2[[#This Row],[origin]] = "notedoc",  Table2[[#This Row],[origin]],  "noted"))</f>
        <v>noted</v>
      </c>
      <c r="F87" s="18" t="s">
        <v>57</v>
      </c>
      <c r="G87" s="19" t="s">
        <v>32</v>
      </c>
      <c r="H87" s="20" t="str">
        <f>Table2[[#This Row],[label]]</f>
        <v>BROKEN</v>
      </c>
      <c r="I87" s="18" t="s">
        <v>65</v>
      </c>
      <c r="J87" s="21"/>
      <c r="K8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7" s="9" t="str">
        <f>"" &amp;  IF(Table2[[#This Row],[hasUnsafeRegex]] = 0, Table2[[#This Row],[regexTermInput]], "(?:" &amp; Table2[[#This Row],[regexTermInput]] &amp; ")")</f>
        <v>BROKEN</v>
      </c>
      <c r="M87" s="11">
        <f>IF( IFERROR( FIND("$", Table2[[#This Row],[unsafeRegexGuess]]), 0) &lt;=0, 0, 1)</f>
        <v>0</v>
      </c>
      <c r="N87" s="11">
        <f>IF( IFERROR( FIND("$", Table2[[#This Row],[anyRegexGuess]]), 0) &lt;=0, 0, 1)</f>
        <v>0</v>
      </c>
      <c r="O87" s="13" t="str">
        <f>SUBSTITUTE( SUBSTITUTE( SUBSTITUTE(SUBSTITUTE(Table2[[#This Row],[unsafeRegexGuess]], ")", "$"), "*", "$"), "+", "$"), "?", "$")</f>
        <v>BROKEN</v>
      </c>
      <c r="P87" s="13" t="str">
        <f xml:space="preserve"> SUBSTITUTE( SUBSTITUTE( SUBSTITUTE(Table2[[#This Row],[regexTermInput]], "(", "$"), "|", "$"), "^", "$")</f>
        <v>BROKEN</v>
      </c>
      <c r="Q87"/>
      <c r="R87"/>
      <c r="S87"/>
      <c r="T87"/>
      <c r="U87"/>
      <c r="V87"/>
      <c r="X87"/>
    </row>
    <row r="88" spans="2:24">
      <c r="B88" s="7">
        <f>IF( Table2[[#This Row],[target_lang]] = "noted", 1, 0)</f>
        <v>1</v>
      </c>
      <c r="C88" s="7">
        <f xml:space="preserve"> IF( Table2[[#This Row],[target_lang]] = "notedoc", 1, 0)</f>
        <v>0</v>
      </c>
      <c r="D88" s="16" t="s">
        <v>43</v>
      </c>
      <c r="E88" s="10" t="str">
        <f>IF( Table2[[#This Row],[label]] = "", "", IF( Table2[[#This Row],[origin]] = "notedoc",  Table2[[#This Row],[origin]],  "noted"))</f>
        <v>noted</v>
      </c>
      <c r="F88" s="18" t="s">
        <v>57</v>
      </c>
      <c r="G88" s="19" t="s">
        <v>33</v>
      </c>
      <c r="H88" s="20" t="str">
        <f>Table2[[#This Row],[label]]</f>
        <v>BUG</v>
      </c>
      <c r="I88" s="18" t="s">
        <v>65</v>
      </c>
      <c r="J88" s="21"/>
      <c r="K8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8" s="9" t="str">
        <f>"" &amp;  IF(Table2[[#This Row],[hasUnsafeRegex]] = 0, Table2[[#This Row],[regexTermInput]], "(?:" &amp; Table2[[#This Row],[regexTermInput]] &amp; ")")</f>
        <v>BUG</v>
      </c>
      <c r="M88" s="11">
        <f>IF( IFERROR( FIND("$", Table2[[#This Row],[unsafeRegexGuess]]), 0) &lt;=0, 0, 1)</f>
        <v>0</v>
      </c>
      <c r="N88" s="11">
        <f>IF( IFERROR( FIND("$", Table2[[#This Row],[anyRegexGuess]]), 0) &lt;=0, 0, 1)</f>
        <v>0</v>
      </c>
      <c r="O88" s="13" t="str">
        <f>SUBSTITUTE( SUBSTITUTE( SUBSTITUTE(SUBSTITUTE(Table2[[#This Row],[unsafeRegexGuess]], ")", "$"), "*", "$"), "+", "$"), "?", "$")</f>
        <v>BUG</v>
      </c>
      <c r="P88" s="13" t="str">
        <f xml:space="preserve"> SUBSTITUTE( SUBSTITUTE( SUBSTITUTE(Table2[[#This Row],[regexTermInput]], "(", "$"), "|", "$"), "^", "$")</f>
        <v>BUG</v>
      </c>
      <c r="Q88"/>
      <c r="R88"/>
      <c r="S88"/>
      <c r="T88"/>
      <c r="U88"/>
      <c r="V88"/>
      <c r="X88"/>
    </row>
    <row r="89" spans="2:24">
      <c r="B89" s="7">
        <f>IF( Table2[[#This Row],[target_lang]] = "noted", 1, 0)</f>
        <v>1</v>
      </c>
      <c r="C89" s="7">
        <f xml:space="preserve"> IF( Table2[[#This Row],[target_lang]] = "notedoc", 1, 0)</f>
        <v>0</v>
      </c>
      <c r="D89" s="10" t="s">
        <v>43</v>
      </c>
      <c r="E89" s="10" t="str">
        <f>IF( Table2[[#This Row],[label]] = "", "", IF( Table2[[#This Row],[origin]] = "notedoc",  Table2[[#This Row],[origin]],  "noted"))</f>
        <v>noted</v>
      </c>
      <c r="F89" s="18" t="s">
        <v>57</v>
      </c>
      <c r="G89" s="19" t="s">
        <v>16</v>
      </c>
      <c r="H89" s="20" t="str">
        <f>Table2[[#This Row],[label]]</f>
        <v>FIXME</v>
      </c>
      <c r="I89" s="18" t="s">
        <v>65</v>
      </c>
      <c r="J89" s="21"/>
      <c r="K8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storage.type.class.${1:/downcase}._noted-issue._level-{{level}}._feeling-bad.text.noted</v>
      </c>
      <c r="L89" s="9" t="str">
        <f>"" &amp;  IF(Table2[[#This Row],[hasUnsafeRegex]] = 0, Table2[[#This Row],[regexTermInput]], "(?:" &amp; Table2[[#This Row],[regexTermInput]] &amp; ")")</f>
        <v>FIXME</v>
      </c>
      <c r="M89" s="11">
        <f>IF( IFERROR( FIND("$", Table2[[#This Row],[unsafeRegexGuess]]), 0) &lt;=0, 0, 1)</f>
        <v>0</v>
      </c>
      <c r="N89" s="11">
        <f>IF( IFERROR( FIND("$", Table2[[#This Row],[anyRegexGuess]]), 0) &lt;=0, 0, 1)</f>
        <v>0</v>
      </c>
      <c r="O89" s="13" t="str">
        <f>SUBSTITUTE( SUBSTITUTE( SUBSTITUTE(SUBSTITUTE(Table2[[#This Row],[unsafeRegexGuess]], ")", "$"), "*", "$"), "+", "$"), "?", "$")</f>
        <v>FIXME</v>
      </c>
      <c r="P89" s="13" t="str">
        <f xml:space="preserve"> SUBSTITUTE( SUBSTITUTE( SUBSTITUTE(Table2[[#This Row],[regexTermInput]], "(", "$"), "|", "$"), "^", "$")</f>
        <v>FIXME</v>
      </c>
      <c r="Q89"/>
      <c r="R89"/>
      <c r="S89"/>
      <c r="T89"/>
      <c r="U89"/>
      <c r="V89"/>
      <c r="X89"/>
    </row>
    <row r="90" spans="2:24">
      <c r="B90" s="7">
        <f>IF( Table2[[#This Row],[target_lang]] = "noted", 1, 0)</f>
        <v>1</v>
      </c>
      <c r="C90" s="7">
        <f xml:space="preserve"> IF( Table2[[#This Row],[target_lang]] = "notedoc", 1, 0)</f>
        <v>0</v>
      </c>
      <c r="D90" s="10" t="s">
        <v>48</v>
      </c>
      <c r="E90" s="10" t="str">
        <f>IF( Table2[[#This Row],[label]] = "", "", IF( Table2[[#This Row],[origin]] = "notedoc",  Table2[[#This Row],[origin]],  "noted"))</f>
        <v>noted</v>
      </c>
      <c r="F90" s="18" t="s">
        <v>57</v>
      </c>
      <c r="G90" s="19" t="s">
        <v>37</v>
      </c>
      <c r="H90" s="20" t="str">
        <f>Table2[[#This Row],[label]]</f>
        <v>OMFGRLY</v>
      </c>
      <c r="I90" s="18" t="s">
        <v>310</v>
      </c>
      <c r="J90" s="21"/>
      <c r="K9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storage.type.class.${1:/downcase}._noted-issue._level-{{level}}._feeling-bad.4.text.noted</v>
      </c>
      <c r="L90" s="9" t="str">
        <f>"" &amp;  IF(Table2[[#This Row],[hasUnsafeRegex]] = 0, Table2[[#This Row],[regexTermInput]], "(?:" &amp; Table2[[#This Row],[regexTermInput]] &amp; ")")</f>
        <v>OMFGRLY</v>
      </c>
      <c r="M90" s="11">
        <f>IF( IFERROR( FIND("$", Table2[[#This Row],[unsafeRegexGuess]]), 0) &lt;=0, 0, 1)</f>
        <v>0</v>
      </c>
      <c r="N90" s="11">
        <f>IF( IFERROR( FIND("$", Table2[[#This Row],[anyRegexGuess]]), 0) &lt;=0, 0, 1)</f>
        <v>0</v>
      </c>
      <c r="O90" s="13" t="str">
        <f>SUBSTITUTE( SUBSTITUTE( SUBSTITUTE(SUBSTITUTE(Table2[[#This Row],[unsafeRegexGuess]], ")", "$"), "*", "$"), "+", "$"), "?", "$")</f>
        <v>OMFGRLY</v>
      </c>
      <c r="P90" s="13" t="str">
        <f xml:space="preserve"> SUBSTITUTE( SUBSTITUTE( SUBSTITUTE(Table2[[#This Row],[regexTermInput]], "(", "$"), "|", "$"), "^", "$")</f>
        <v>OMFGRLY</v>
      </c>
      <c r="Q90"/>
      <c r="R90"/>
      <c r="S90"/>
      <c r="T90"/>
      <c r="U90"/>
      <c r="V90"/>
      <c r="X90"/>
    </row>
    <row r="91" spans="2:24">
      <c r="B91" s="7">
        <f>IF( Table2[[#This Row],[target_lang]] = "noted", 1, 0)</f>
        <v>1</v>
      </c>
      <c r="C91" s="7">
        <f xml:space="preserve"> IF( Table2[[#This Row],[target_lang]] = "notedoc", 1, 0)</f>
        <v>0</v>
      </c>
      <c r="D91" s="10" t="s">
        <v>48</v>
      </c>
      <c r="E91" s="10" t="str">
        <f>IF( Table2[[#This Row],[label]] = "", "", IF( Table2[[#This Row],[origin]] = "notedoc",  Table2[[#This Row],[origin]],  "noted"))</f>
        <v>noted</v>
      </c>
      <c r="F91" s="18" t="s">
        <v>57</v>
      </c>
      <c r="G91" s="19" t="s">
        <v>34</v>
      </c>
      <c r="H91" s="20" t="str">
        <f>Table2[[#This Row],[label]]</f>
        <v>OMG</v>
      </c>
      <c r="I91" s="18" t="s">
        <v>308</v>
      </c>
      <c r="J91" s="21"/>
      <c r="K9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storage.type.class.${1:/downcase}._noted-issue._level-{{level}}._feeling-bad.3.text.noted</v>
      </c>
      <c r="L91" s="9" t="str">
        <f>"" &amp;  IF(Table2[[#This Row],[hasUnsafeRegex]] = 0, Table2[[#This Row],[regexTermInput]], "(?:" &amp; Table2[[#This Row],[regexTermInput]] &amp; ")")</f>
        <v>OMG</v>
      </c>
      <c r="M91" s="11">
        <f>IF( IFERROR( FIND("$", Table2[[#This Row],[unsafeRegexGuess]]), 0) &lt;=0, 0, 1)</f>
        <v>0</v>
      </c>
      <c r="N91" s="11">
        <f>IF( IFERROR( FIND("$", Table2[[#This Row],[anyRegexGuess]]), 0) &lt;=0, 0, 1)</f>
        <v>0</v>
      </c>
      <c r="O91" s="13" t="str">
        <f>SUBSTITUTE( SUBSTITUTE( SUBSTITUTE(SUBSTITUTE(Table2[[#This Row],[unsafeRegexGuess]], ")", "$"), "*", "$"), "+", "$"), "?", "$")</f>
        <v>OMG</v>
      </c>
      <c r="P91" s="13" t="str">
        <f xml:space="preserve"> SUBSTITUTE( SUBSTITUTE( SUBSTITUTE(Table2[[#This Row],[regexTermInput]], "(", "$"), "|", "$"), "^", "$")</f>
        <v>OMG</v>
      </c>
      <c r="Q91"/>
      <c r="R91"/>
      <c r="S91"/>
      <c r="T91"/>
      <c r="U91"/>
      <c r="V91"/>
      <c r="X91"/>
    </row>
    <row r="92" spans="2:24">
      <c r="B92" s="7">
        <f>IF( Table2[[#This Row],[target_lang]] = "noted", 1, 0)</f>
        <v>1</v>
      </c>
      <c r="C92" s="7">
        <f xml:space="preserve"> IF( Table2[[#This Row],[target_lang]] = "notedoc", 1, 0)</f>
        <v>0</v>
      </c>
      <c r="D92" s="10" t="s">
        <v>48</v>
      </c>
      <c r="E92" s="10" t="str">
        <f>IF( Table2[[#This Row],[label]] = "", "", IF( Table2[[#This Row],[origin]] = "notedoc",  Table2[[#This Row],[origin]],  "noted"))</f>
        <v>noted</v>
      </c>
      <c r="F92" s="18" t="s">
        <v>57</v>
      </c>
      <c r="G92" s="19" t="s">
        <v>38</v>
      </c>
      <c r="H92" s="20" t="str">
        <f>Table2[[#This Row],[label]]</f>
        <v>WTF</v>
      </c>
      <c r="I92" s="18" t="s">
        <v>309</v>
      </c>
      <c r="J92" s="21"/>
      <c r="K9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storage.type.class.${1:/downcase}._noted-issue._level-{{level}}._feeling-bad.2.text.noted</v>
      </c>
      <c r="L92" s="9" t="str">
        <f>"" &amp;  IF(Table2[[#This Row],[hasUnsafeRegex]] = 0, Table2[[#This Row],[regexTermInput]], "(?:" &amp; Table2[[#This Row],[regexTermInput]] &amp; ")")</f>
        <v>WTF</v>
      </c>
      <c r="M92" s="11">
        <f>IF( IFERROR( FIND("$", Table2[[#This Row],[unsafeRegexGuess]]), 0) &lt;=0, 0, 1)</f>
        <v>0</v>
      </c>
      <c r="N92" s="11">
        <f>IF( IFERROR( FIND("$", Table2[[#This Row],[anyRegexGuess]]), 0) &lt;=0, 0, 1)</f>
        <v>0</v>
      </c>
      <c r="O92" s="13" t="str">
        <f>SUBSTITUTE( SUBSTITUTE( SUBSTITUTE(SUBSTITUTE(Table2[[#This Row],[unsafeRegexGuess]], ")", "$"), "*", "$"), "+", "$"), "?", "$")</f>
        <v>WTF</v>
      </c>
      <c r="P92" s="13" t="str">
        <f xml:space="preserve"> SUBSTITUTE( SUBSTITUTE( SUBSTITUTE(Table2[[#This Row],[regexTermInput]], "(", "$"), "|", "$"), "^", "$")</f>
        <v>WTF</v>
      </c>
      <c r="Q92"/>
      <c r="R92"/>
      <c r="S92"/>
      <c r="T92"/>
      <c r="U92"/>
      <c r="V92"/>
      <c r="X92"/>
    </row>
    <row r="93" spans="2:24">
      <c r="B93" s="7">
        <f>IF( Table2[[#This Row],[target_lang]] = "noted", 1, 0)</f>
        <v>0</v>
      </c>
      <c r="C93" s="7">
        <f xml:space="preserve"> IF( Table2[[#This Row],[target_lang]] = "notedoc", 1, 0)</f>
        <v>0</v>
      </c>
      <c r="D93" s="10" t="s">
        <v>51</v>
      </c>
      <c r="E93" s="10" t="str">
        <f>IF( Table2[[#This Row],[label]] = "", "", IF( Table2[[#This Row],[origin]] = "notedoc",  Table2[[#This Row],[origin]],  "noted"))</f>
        <v/>
      </c>
      <c r="F93" s="18" t="s">
        <v>54</v>
      </c>
      <c r="G93" s="19"/>
      <c r="H93" s="20"/>
      <c r="I93" s="18"/>
      <c r="J93" s="21"/>
      <c r="K9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93" s="27" t="str">
        <f>"" &amp;  IF(Table2[[#This Row],[hasUnsafeRegex]] = 0, Table2[[#This Row],[regexTermInput]], "(?:" &amp; Table2[[#This Row],[regexTermInput]] &amp; ")")</f>
        <v/>
      </c>
      <c r="M93" s="28">
        <f>IF( IFERROR( FIND("$", Table2[[#This Row],[unsafeRegexGuess]]), 0) &lt;=0, 0, 1)</f>
        <v>0</v>
      </c>
      <c r="N93" s="28">
        <f>IF( IFERROR( FIND("$", Table2[[#This Row],[anyRegexGuess]]), 0) &lt;=0, 0, 1)</f>
        <v>0</v>
      </c>
      <c r="O93" s="29" t="str">
        <f>SUBSTITUTE( SUBSTITUTE( SUBSTITUTE(SUBSTITUTE(Table2[[#This Row],[unsafeRegexGuess]], ")", "$"), "*", "$"), "+", "$"), "?", "$")</f>
        <v/>
      </c>
      <c r="P93" s="29" t="str">
        <f xml:space="preserve"> SUBSTITUTE( SUBSTITUTE( SUBSTITUTE(Table2[[#This Row],[regexTermInput]], "(", "$"), "|", "$"), "^", "$")</f>
        <v/>
      </c>
      <c r="Q93"/>
      <c r="R93"/>
      <c r="S93"/>
      <c r="T93"/>
      <c r="U93"/>
      <c r="V93"/>
      <c r="X93"/>
    </row>
    <row r="94" spans="2:24">
      <c r="B94" s="7">
        <f>IF( Table2[[#This Row],[target_lang]] = "noted", 1, 0)</f>
        <v>1</v>
      </c>
      <c r="C94" s="7">
        <f xml:space="preserve"> IF( Table2[[#This Row],[target_lang]] = "notedoc", 1, 0)</f>
        <v>0</v>
      </c>
      <c r="D94" s="10" t="s">
        <v>51</v>
      </c>
      <c r="E94" s="10" t="str">
        <f>IF( Table2[[#This Row],[label]] = "", "", IF( Table2[[#This Row],[origin]] = "notedoc",  Table2[[#This Row],[origin]],  "noted"))</f>
        <v>noted</v>
      </c>
      <c r="F94" s="18" t="s">
        <v>232</v>
      </c>
      <c r="G94" s="19" t="s">
        <v>0</v>
      </c>
      <c r="H94" s="20" t="str">
        <f>Table2[[#This Row],[label]]</f>
        <v>CONSIDER</v>
      </c>
      <c r="I94" s="18" t="s">
        <v>304</v>
      </c>
      <c r="J94" s="21"/>
      <c r="K9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storage.type.class.${1:/downcase}._noted-note._level-{{level}}._feeling-bland.text.noted</v>
      </c>
      <c r="L94" s="9" t="str">
        <f>"" &amp;  IF(Table2[[#This Row],[hasUnsafeRegex]] = 0, Table2[[#This Row],[regexTermInput]], "(?:" &amp; Table2[[#This Row],[regexTermInput]] &amp; ")")</f>
        <v>CONSIDER</v>
      </c>
      <c r="M94" s="11">
        <f>IF( IFERROR( FIND("$", Table2[[#This Row],[unsafeRegexGuess]]), 0) &lt;=0, 0, 1)</f>
        <v>0</v>
      </c>
      <c r="N94" s="11">
        <f>IF( IFERROR( FIND("$", Table2[[#This Row],[anyRegexGuess]]), 0) &lt;=0, 0, 1)</f>
        <v>0</v>
      </c>
      <c r="O94" s="13" t="str">
        <f>SUBSTITUTE( SUBSTITUTE( SUBSTITUTE(SUBSTITUTE(Table2[[#This Row],[unsafeRegexGuess]], ")", "$"), "*", "$"), "+", "$"), "?", "$")</f>
        <v>CONSIDER</v>
      </c>
      <c r="P94" s="13" t="str">
        <f xml:space="preserve"> SUBSTITUTE( SUBSTITUTE( SUBSTITUTE(Table2[[#This Row],[regexTermInput]], "(", "$"), "|", "$"), "^", "$")</f>
        <v>CONSIDER</v>
      </c>
      <c r="Q94"/>
      <c r="R94"/>
      <c r="S94"/>
      <c r="T94"/>
      <c r="U94"/>
      <c r="V94"/>
      <c r="X94"/>
    </row>
    <row r="95" spans="2:24">
      <c r="B95" s="7">
        <f>IF( Table2[[#This Row],[target_lang]] = "noted", 1, 0)</f>
        <v>1</v>
      </c>
      <c r="C95" s="7">
        <f xml:space="preserve"> IF( Table2[[#This Row],[target_lang]] = "notedoc", 1, 0)</f>
        <v>0</v>
      </c>
      <c r="D95" s="10" t="s">
        <v>43</v>
      </c>
      <c r="E95" s="10" t="str">
        <f>IF( Table2[[#This Row],[label]] = "", "", IF( Table2[[#This Row],[origin]] = "notedoc",  Table2[[#This Row],[origin]],  "noted"))</f>
        <v>noted</v>
      </c>
      <c r="F95" s="18" t="s">
        <v>232</v>
      </c>
      <c r="G95" s="19" t="s">
        <v>3</v>
      </c>
      <c r="H95" s="20" t="str">
        <f>Table2[[#This Row],[label]]</f>
        <v>IDEA</v>
      </c>
      <c r="I95" s="18" t="s">
        <v>301</v>
      </c>
      <c r="J95" s="21"/>
      <c r="K9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storage.type.class.${1:/downcase}._noted-note._level-{{level}}._feeling-curious.text.noted</v>
      </c>
      <c r="L95" s="9" t="str">
        <f>"" &amp;  IF(Table2[[#This Row],[hasUnsafeRegex]] = 0, Table2[[#This Row],[regexTermInput]], "(?:" &amp; Table2[[#This Row],[regexTermInput]] &amp; ")")</f>
        <v>IDEA</v>
      </c>
      <c r="M95" s="11">
        <f>IF( IFERROR( FIND("$", Table2[[#This Row],[unsafeRegexGuess]]), 0) &lt;=0, 0, 1)</f>
        <v>0</v>
      </c>
      <c r="N95" s="11">
        <f>IF( IFERROR( FIND("$", Table2[[#This Row],[anyRegexGuess]]), 0) &lt;=0, 0, 1)</f>
        <v>0</v>
      </c>
      <c r="O95" s="13" t="str">
        <f>SUBSTITUTE( SUBSTITUTE( SUBSTITUTE(SUBSTITUTE(Table2[[#This Row],[unsafeRegexGuess]], ")", "$"), "*", "$"), "+", "$"), "?", "$")</f>
        <v>IDEA</v>
      </c>
      <c r="P95" s="13" t="str">
        <f xml:space="preserve"> SUBSTITUTE( SUBSTITUTE( SUBSTITUTE(Table2[[#This Row],[regexTermInput]], "(", "$"), "|", "$"), "^", "$")</f>
        <v>IDEA</v>
      </c>
      <c r="Q95"/>
      <c r="R95"/>
      <c r="S95"/>
      <c r="T95"/>
      <c r="U95"/>
      <c r="V95"/>
      <c r="X95"/>
    </row>
    <row r="96" spans="2:24">
      <c r="B96" s="7">
        <f>IF( Table2[[#This Row],[target_lang]] = "noted", 1, 0)</f>
        <v>1</v>
      </c>
      <c r="C96" s="7">
        <f xml:space="preserve"> IF( Table2[[#This Row],[target_lang]] = "notedoc", 1, 0)</f>
        <v>0</v>
      </c>
      <c r="D96" s="10" t="s">
        <v>43</v>
      </c>
      <c r="E96" s="10" t="str">
        <f>IF( Table2[[#This Row],[label]] = "", "", IF( Table2[[#This Row],[origin]] = "notedoc",  Table2[[#This Row],[origin]],  "noted"))</f>
        <v>noted</v>
      </c>
      <c r="F96" s="18" t="s">
        <v>232</v>
      </c>
      <c r="G96" s="19" t="s">
        <v>6</v>
      </c>
      <c r="H96" s="20" t="str">
        <f>Table2[[#This Row],[label]]</f>
        <v>NB</v>
      </c>
      <c r="I96" s="18" t="s">
        <v>306</v>
      </c>
      <c r="J96" s="21"/>
      <c r="K9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96" s="9" t="str">
        <f>"" &amp;  IF(Table2[[#This Row],[hasUnsafeRegex]] = 0, Table2[[#This Row],[regexTermInput]], "(?:" &amp; Table2[[#This Row],[regexTermInput]] &amp; ")")</f>
        <v>NB</v>
      </c>
      <c r="M96" s="11">
        <f>IF( IFERROR( FIND("$", Table2[[#This Row],[unsafeRegexGuess]]), 0) &lt;=0, 0, 1)</f>
        <v>0</v>
      </c>
      <c r="N96" s="11">
        <f>IF( IFERROR( FIND("$", Table2[[#This Row],[anyRegexGuess]]), 0) &lt;=0, 0, 1)</f>
        <v>0</v>
      </c>
      <c r="O96" s="13" t="str">
        <f>SUBSTITUTE( SUBSTITUTE( SUBSTITUTE(SUBSTITUTE(Table2[[#This Row],[unsafeRegexGuess]], ")", "$"), "*", "$"), "+", "$"), "?", "$")</f>
        <v>NB</v>
      </c>
      <c r="P96" s="13" t="str">
        <f xml:space="preserve"> SUBSTITUTE( SUBSTITUTE( SUBSTITUTE(Table2[[#This Row],[regexTermInput]], "(", "$"), "|", "$"), "^", "$")</f>
        <v>NB</v>
      </c>
      <c r="Q96"/>
      <c r="R96"/>
      <c r="S96"/>
      <c r="T96"/>
      <c r="U96"/>
      <c r="V96"/>
      <c r="X96"/>
    </row>
    <row r="97" spans="2:24">
      <c r="B97" s="7">
        <f>IF( Table2[[#This Row],[target_lang]] = "noted", 1, 0)</f>
        <v>1</v>
      </c>
      <c r="C97" s="7">
        <f xml:space="preserve"> IF( Table2[[#This Row],[target_lang]] = "notedoc", 1, 0)</f>
        <v>0</v>
      </c>
      <c r="D97" s="10" t="s">
        <v>43</v>
      </c>
      <c r="E97" s="10" t="str">
        <f>IF( Table2[[#This Row],[label]] = "", "", IF( Table2[[#This Row],[origin]] = "notedoc",  Table2[[#This Row],[origin]],  "noted"))</f>
        <v>noted</v>
      </c>
      <c r="F97" s="18" t="s">
        <v>232</v>
      </c>
      <c r="G97" s="19" t="s">
        <v>7</v>
      </c>
      <c r="H97" s="20" t="str">
        <f>Table2[[#This Row],[label]]</f>
        <v>NOTE</v>
      </c>
      <c r="I97" s="18" t="s">
        <v>235</v>
      </c>
      <c r="J97" s="21"/>
      <c r="K9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97" s="9" t="str">
        <f>"" &amp;  IF(Table2[[#This Row],[hasUnsafeRegex]] = 0, Table2[[#This Row],[regexTermInput]], "(?:" &amp; Table2[[#This Row],[regexTermInput]] &amp; ")")</f>
        <v>NOTE</v>
      </c>
      <c r="M97" s="11">
        <f>IF( IFERROR( FIND("$", Table2[[#This Row],[unsafeRegexGuess]]), 0) &lt;=0, 0, 1)</f>
        <v>0</v>
      </c>
      <c r="N97" s="11">
        <f>IF( IFERROR( FIND("$", Table2[[#This Row],[anyRegexGuess]]), 0) &lt;=0, 0, 1)</f>
        <v>0</v>
      </c>
      <c r="O97" s="13" t="str">
        <f>SUBSTITUTE( SUBSTITUTE( SUBSTITUTE(SUBSTITUTE(Table2[[#This Row],[unsafeRegexGuess]], ")", "$"), "*", "$"), "+", "$"), "?", "$")</f>
        <v>NOTE</v>
      </c>
      <c r="P97" s="13" t="str">
        <f xml:space="preserve"> SUBSTITUTE( SUBSTITUTE( SUBSTITUTE(Table2[[#This Row],[regexTermInput]], "(", "$"), "|", "$"), "^", "$")</f>
        <v>NOTE</v>
      </c>
      <c r="Q97"/>
      <c r="R97"/>
      <c r="S97"/>
      <c r="T97"/>
      <c r="U97"/>
      <c r="V97"/>
      <c r="X97"/>
    </row>
    <row r="98" spans="2:24">
      <c r="B98" s="7">
        <f>IF( Table2[[#This Row],[target_lang]] = "noted", 1, 0)</f>
        <v>1</v>
      </c>
      <c r="C98" s="7">
        <f xml:space="preserve"> IF( Table2[[#This Row],[target_lang]] = "notedoc", 1, 0)</f>
        <v>0</v>
      </c>
      <c r="D98" s="10" t="s">
        <v>51</v>
      </c>
      <c r="E98" s="10" t="str">
        <f>IF( Table2[[#This Row],[label]] = "", "", IF( Table2[[#This Row],[origin]] = "notedoc",  Table2[[#This Row],[origin]],  "noted"))</f>
        <v>noted</v>
      </c>
      <c r="F98" s="18" t="s">
        <v>232</v>
      </c>
      <c r="G98" s="19" t="s">
        <v>8</v>
      </c>
      <c r="H98" s="20" t="str">
        <f>Table2[[#This Row],[label]]</f>
        <v>PS</v>
      </c>
      <c r="I98" s="18" t="s">
        <v>306</v>
      </c>
      <c r="J98" s="21"/>
      <c r="K9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98" s="9" t="str">
        <f>"" &amp;  IF(Table2[[#This Row],[hasUnsafeRegex]] = 0, Table2[[#This Row],[regexTermInput]], "(?:" &amp; Table2[[#This Row],[regexTermInput]] &amp; ")")</f>
        <v>PS</v>
      </c>
      <c r="M98" s="11">
        <f>IF( IFERROR( FIND("$", Table2[[#This Row],[unsafeRegexGuess]]), 0) &lt;=0, 0, 1)</f>
        <v>0</v>
      </c>
      <c r="N98" s="11">
        <f>IF( IFERROR( FIND("$", Table2[[#This Row],[anyRegexGuess]]), 0) &lt;=0, 0, 1)</f>
        <v>0</v>
      </c>
      <c r="O98" s="13" t="str">
        <f>SUBSTITUTE( SUBSTITUTE( SUBSTITUTE(SUBSTITUTE(Table2[[#This Row],[unsafeRegexGuess]], ")", "$"), "*", "$"), "+", "$"), "?", "$")</f>
        <v>PS</v>
      </c>
      <c r="P98" s="13" t="str">
        <f xml:space="preserve"> SUBSTITUTE( SUBSTITUTE( SUBSTITUTE(Table2[[#This Row],[regexTermInput]], "(", "$"), "|", "$"), "^", "$")</f>
        <v>PS</v>
      </c>
      <c r="Q98"/>
      <c r="R98"/>
      <c r="S98"/>
      <c r="T98"/>
      <c r="U98"/>
      <c r="V98"/>
      <c r="X98"/>
    </row>
    <row r="99" spans="2:24">
      <c r="B99" s="7">
        <f>IF( Table2[[#This Row],[target_lang]] = "noted", 1, 0)</f>
        <v>1</v>
      </c>
      <c r="C99" s="7">
        <f xml:space="preserve"> IF( Table2[[#This Row],[target_lang]] = "notedoc", 1, 0)</f>
        <v>0</v>
      </c>
      <c r="D99" s="10" t="s">
        <v>43</v>
      </c>
      <c r="E99" s="10" t="str">
        <f>IF( Table2[[#This Row],[label]] = "", "", IF( Table2[[#This Row],[origin]] = "notedoc",  Table2[[#This Row],[origin]],  "noted"))</f>
        <v>noted</v>
      </c>
      <c r="F99" s="18" t="s">
        <v>232</v>
      </c>
      <c r="G99" s="19" t="s">
        <v>9</v>
      </c>
      <c r="H99" s="20" t="str">
        <f>Table2[[#This Row],[label]]</f>
        <v>QUESTION</v>
      </c>
      <c r="I99" s="18" t="s">
        <v>301</v>
      </c>
      <c r="J99" s="21"/>
      <c r="K9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storage.type.class.${1:/downcase}._noted-note._level-{{level}}._feeling-curious.text.noted</v>
      </c>
      <c r="L99" s="9" t="str">
        <f>"" &amp;  IF(Table2[[#This Row],[hasUnsafeRegex]] = 0, Table2[[#This Row],[regexTermInput]], "(?:" &amp; Table2[[#This Row],[regexTermInput]] &amp; ")")</f>
        <v>QUESTION</v>
      </c>
      <c r="M99" s="11">
        <f>IF( IFERROR( FIND("$", Table2[[#This Row],[unsafeRegexGuess]]), 0) &lt;=0, 0, 1)</f>
        <v>0</v>
      </c>
      <c r="N99" s="11">
        <f>IF( IFERROR( FIND("$", Table2[[#This Row],[anyRegexGuess]]), 0) &lt;=0, 0, 1)</f>
        <v>0</v>
      </c>
      <c r="O99" s="13" t="str">
        <f>SUBSTITUTE( SUBSTITUTE( SUBSTITUTE(SUBSTITUTE(Table2[[#This Row],[unsafeRegexGuess]], ")", "$"), "*", "$"), "+", "$"), "?", "$")</f>
        <v>QUESTION</v>
      </c>
      <c r="P99" s="13" t="str">
        <f xml:space="preserve"> SUBSTITUTE( SUBSTITUTE( SUBSTITUTE(Table2[[#This Row],[regexTermInput]], "(", "$"), "|", "$"), "^", "$")</f>
        <v>QUESTION</v>
      </c>
      <c r="Q99"/>
      <c r="R99"/>
      <c r="S99"/>
      <c r="T99"/>
      <c r="U99"/>
      <c r="V99"/>
      <c r="X99"/>
    </row>
    <row r="100" spans="2:24">
      <c r="B100" s="7">
        <f>IF( Table2[[#This Row],[target_lang]] = "noted", 1, 0)</f>
        <v>1</v>
      </c>
      <c r="C100" s="7">
        <f xml:space="preserve"> IF( Table2[[#This Row],[target_lang]] = "notedoc", 1, 0)</f>
        <v>0</v>
      </c>
      <c r="D100" s="10" t="s">
        <v>48</v>
      </c>
      <c r="E100" s="10" t="str">
        <f>IF( Table2[[#This Row],[label]] = "", "", IF( Table2[[#This Row],[origin]] = "notedoc",  Table2[[#This Row],[origin]],  "noted"))</f>
        <v>noted</v>
      </c>
      <c r="F100" s="18" t="s">
        <v>232</v>
      </c>
      <c r="G100" s="19" t="s">
        <v>10</v>
      </c>
      <c r="H100" s="20" t="str">
        <f>Table2[[#This Row],[label]]</f>
        <v>TASK</v>
      </c>
      <c r="I100" s="18" t="s">
        <v>302</v>
      </c>
      <c r="J100" s="21"/>
      <c r="K10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storage.type.class.${1:/downcase}._noted-note._level-{{level}}._feeling-eager.text.noted</v>
      </c>
      <c r="L100" s="9" t="str">
        <f>"" &amp;  IF(Table2[[#This Row],[hasUnsafeRegex]] = 0, Table2[[#This Row],[regexTermInput]], "(?:" &amp; Table2[[#This Row],[regexTermInput]] &amp; ")")</f>
        <v>TASK</v>
      </c>
      <c r="M100" s="11">
        <f>IF( IFERROR( FIND("$", Table2[[#This Row],[unsafeRegexGuess]]), 0) &lt;=0, 0, 1)</f>
        <v>0</v>
      </c>
      <c r="N100" s="11">
        <f>IF( IFERROR( FIND("$", Table2[[#This Row],[anyRegexGuess]]), 0) &lt;=0, 0, 1)</f>
        <v>0</v>
      </c>
      <c r="O100" s="13" t="str">
        <f>SUBSTITUTE( SUBSTITUTE( SUBSTITUTE(SUBSTITUTE(Table2[[#This Row],[unsafeRegexGuess]], ")", "$"), "*", "$"), "+", "$"), "?", "$")</f>
        <v>TASK</v>
      </c>
      <c r="P100" s="13" t="str">
        <f xml:space="preserve"> SUBSTITUTE( SUBSTITUTE( SUBSTITUTE(Table2[[#This Row],[regexTermInput]], "(", "$"), "|", "$"), "^", "$")</f>
        <v>TASK</v>
      </c>
      <c r="Q100"/>
      <c r="R100"/>
      <c r="S100"/>
      <c r="T100"/>
      <c r="U100"/>
      <c r="V100"/>
      <c r="X100"/>
    </row>
    <row r="101" spans="2:24">
      <c r="B101" s="7">
        <f>IF( Table2[[#This Row],[target_lang]] = "noted", 1, 0)</f>
        <v>1</v>
      </c>
      <c r="C101" s="7">
        <f xml:space="preserve"> IF( Table2[[#This Row],[target_lang]] = "notedoc", 1, 0)</f>
        <v>0</v>
      </c>
      <c r="D101" s="10" t="s">
        <v>51</v>
      </c>
      <c r="E101" s="10" t="str">
        <f>IF( Table2[[#This Row],[label]] = "", "", IF( Table2[[#This Row],[origin]] = "notedoc",  Table2[[#This Row],[origin]],  "noted"))</f>
        <v>noted</v>
      </c>
      <c r="F101" s="18" t="s">
        <v>232</v>
      </c>
      <c r="G101" s="19" t="s">
        <v>45</v>
      </c>
      <c r="H101" s="20" t="str">
        <f>Table2[[#This Row],[label]]</f>
        <v>TBD</v>
      </c>
      <c r="I101" s="18" t="s">
        <v>235</v>
      </c>
      <c r="J101" s="21"/>
      <c r="K10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101" s="9" t="str">
        <f>"" &amp;  IF(Table2[[#This Row],[hasUnsafeRegex]] = 0, Table2[[#This Row],[regexTermInput]], "(?:" &amp; Table2[[#This Row],[regexTermInput]] &amp; ")")</f>
        <v>TBD</v>
      </c>
      <c r="M101" s="11">
        <f>IF( IFERROR( FIND("$", Table2[[#This Row],[unsafeRegexGuess]]), 0) &lt;=0, 0, 1)</f>
        <v>0</v>
      </c>
      <c r="N101" s="11">
        <f>IF( IFERROR( FIND("$", Table2[[#This Row],[anyRegexGuess]]), 0) &lt;=0, 0, 1)</f>
        <v>0</v>
      </c>
      <c r="O101" s="13" t="str">
        <f>SUBSTITUTE( SUBSTITUTE( SUBSTITUTE(SUBSTITUTE(Table2[[#This Row],[unsafeRegexGuess]], ")", "$"), "*", "$"), "+", "$"), "?", "$")</f>
        <v>TBD</v>
      </c>
      <c r="P101" s="13" t="str">
        <f xml:space="preserve"> SUBSTITUTE( SUBSTITUTE( SUBSTITUTE(Table2[[#This Row],[regexTermInput]], "(", "$"), "|", "$"), "^", "$")</f>
        <v>TBD</v>
      </c>
      <c r="Q101"/>
      <c r="R101"/>
      <c r="S101"/>
      <c r="T101"/>
      <c r="U101"/>
      <c r="V101"/>
      <c r="X101"/>
    </row>
    <row r="102" spans="2:24">
      <c r="B102" s="7">
        <f>IF( Table2[[#This Row],[target_lang]] = "noted", 1, 0)</f>
        <v>1</v>
      </c>
      <c r="C102" s="7">
        <f xml:space="preserve"> IF( Table2[[#This Row],[target_lang]] = "notedoc", 1, 0)</f>
        <v>0</v>
      </c>
      <c r="D102" s="10" t="s">
        <v>51</v>
      </c>
      <c r="E102" s="10" t="str">
        <f>IF( Table2[[#This Row],[label]] = "", "", IF( Table2[[#This Row],[origin]] = "notedoc",  Table2[[#This Row],[origin]],  "noted"))</f>
        <v>noted</v>
      </c>
      <c r="F102" s="18" t="s">
        <v>232</v>
      </c>
      <c r="G102" s="19" t="s">
        <v>46</v>
      </c>
      <c r="H102" s="20" t="str">
        <f>Table2[[#This Row],[label]]</f>
        <v>TBS</v>
      </c>
      <c r="I102" s="18" t="s">
        <v>235</v>
      </c>
      <c r="J102" s="21"/>
      <c r="K10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storage.type.class.${1:/downcase}._noted-note._level-{{level}}._feeling-neutral.text.noted</v>
      </c>
      <c r="L102" s="9" t="str">
        <f>"" &amp;  IF(Table2[[#This Row],[hasUnsafeRegex]] = 0, Table2[[#This Row],[regexTermInput]], "(?:" &amp; Table2[[#This Row],[regexTermInput]] &amp; ")")</f>
        <v>TBS</v>
      </c>
      <c r="M102" s="11">
        <f>IF( IFERROR( FIND("$", Table2[[#This Row],[unsafeRegexGuess]]), 0) &lt;=0, 0, 1)</f>
        <v>0</v>
      </c>
      <c r="N102" s="11">
        <f>IF( IFERROR( FIND("$", Table2[[#This Row],[anyRegexGuess]]), 0) &lt;=0, 0, 1)</f>
        <v>0</v>
      </c>
      <c r="O102" s="13" t="str">
        <f>SUBSTITUTE( SUBSTITUTE( SUBSTITUTE(SUBSTITUTE(Table2[[#This Row],[unsafeRegexGuess]], ")", "$"), "*", "$"), "+", "$"), "?", "$")</f>
        <v>TBS</v>
      </c>
      <c r="P102" s="13" t="str">
        <f xml:space="preserve"> SUBSTITUTE( SUBSTITUTE( SUBSTITUTE(Table2[[#This Row],[regexTermInput]], "(", "$"), "|", "$"), "^", "$")</f>
        <v>TBS</v>
      </c>
      <c r="Q102"/>
      <c r="R102"/>
      <c r="S102"/>
      <c r="T102"/>
      <c r="U102"/>
      <c r="V102"/>
      <c r="X102"/>
    </row>
    <row r="103" spans="2:24">
      <c r="B103" s="7">
        <f>IF( Table2[[#This Row],[target_lang]] = "noted", 1, 0)</f>
        <v>1</v>
      </c>
      <c r="C103" s="7">
        <f xml:space="preserve"> IF( Table2[[#This Row],[target_lang]] = "notedoc", 1, 0)</f>
        <v>0</v>
      </c>
      <c r="D103" s="10" t="s">
        <v>43</v>
      </c>
      <c r="E103" s="10" t="str">
        <f>IF( Table2[[#This Row],[label]] = "", "", IF( Table2[[#This Row],[origin]] = "notedoc",  Table2[[#This Row],[origin]],  "noted"))</f>
        <v>noted</v>
      </c>
      <c r="F103" s="18" t="s">
        <v>232</v>
      </c>
      <c r="G103" s="19" t="s">
        <v>22</v>
      </c>
      <c r="H103" s="20" t="str">
        <f>Table2[[#This Row],[label]]</f>
        <v>TODO</v>
      </c>
      <c r="I103" s="18" t="s">
        <v>302</v>
      </c>
      <c r="J103" s="21"/>
      <c r="K10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storage.type.class.${1:/downcase}._noted-note._level-{{level}}._feeling-eager.text.noted</v>
      </c>
      <c r="L103" s="9" t="str">
        <f>"" &amp;  IF(Table2[[#This Row],[hasUnsafeRegex]] = 0, Table2[[#This Row],[regexTermInput]], "(?:" &amp; Table2[[#This Row],[regexTermInput]] &amp; ")")</f>
        <v>TODO</v>
      </c>
      <c r="M103" s="11">
        <f>IF( IFERROR( FIND("$", Table2[[#This Row],[unsafeRegexGuess]]), 0) &lt;=0, 0, 1)</f>
        <v>0</v>
      </c>
      <c r="N103" s="11">
        <f>IF( IFERROR( FIND("$", Table2[[#This Row],[anyRegexGuess]]), 0) &lt;=0, 0, 1)</f>
        <v>0</v>
      </c>
      <c r="O103" s="13" t="str">
        <f>SUBSTITUTE( SUBSTITUTE( SUBSTITUTE(SUBSTITUTE(Table2[[#This Row],[unsafeRegexGuess]], ")", "$"), "*", "$"), "+", "$"), "?", "$")</f>
        <v>TODO</v>
      </c>
      <c r="P103" s="13" t="str">
        <f xml:space="preserve"> SUBSTITUTE( SUBSTITUTE( SUBSTITUTE(Table2[[#This Row],[regexTermInput]], "(", "$"), "|", "$"), "^", "$")</f>
        <v>TODO</v>
      </c>
      <c r="Q103"/>
      <c r="R103"/>
      <c r="S103"/>
      <c r="T103"/>
      <c r="U103"/>
      <c r="V103"/>
      <c r="X103"/>
    </row>
    <row r="104" spans="2:24">
      <c r="B104" s="7">
        <f>IF( Table2[[#This Row],[target_lang]] = "noted", 1, 0)</f>
        <v>1</v>
      </c>
      <c r="C104" s="7">
        <f xml:space="preserve"> IF( Table2[[#This Row],[target_lang]] = "notedoc", 1, 0)</f>
        <v>0</v>
      </c>
      <c r="D104" s="10" t="s">
        <v>51</v>
      </c>
      <c r="E104" s="10" t="str">
        <f>IF( Table2[[#This Row],[label]] = "", "", IF( Table2[[#This Row],[origin]] = "notedoc",  Table2[[#This Row],[origin]],  "noted"))</f>
        <v>noted</v>
      </c>
      <c r="F104" s="18" t="s">
        <v>232</v>
      </c>
      <c r="G104" s="19" t="s">
        <v>44</v>
      </c>
      <c r="H104" s="20" t="str">
        <f>Table2[[#This Row],[label]]</f>
        <v>TODOC</v>
      </c>
      <c r="I104" s="18" t="s">
        <v>306</v>
      </c>
      <c r="J104" s="21"/>
      <c r="K10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storage.type.class.${1:/downcase}._noted-note._level-{{level}}._feeling-bland.verbose.text.noted</v>
      </c>
      <c r="L104" s="9" t="str">
        <f>"" &amp;  IF(Table2[[#This Row],[hasUnsafeRegex]] = 0, Table2[[#This Row],[regexTermInput]], "(?:" &amp; Table2[[#This Row],[regexTermInput]] &amp; ")")</f>
        <v>TODOC</v>
      </c>
      <c r="M104" s="11">
        <f>IF( IFERROR( FIND("$", Table2[[#This Row],[unsafeRegexGuess]]), 0) &lt;=0, 0, 1)</f>
        <v>0</v>
      </c>
      <c r="N104" s="11">
        <f>IF( IFERROR( FIND("$", Table2[[#This Row],[anyRegexGuess]]), 0) &lt;=0, 0, 1)</f>
        <v>0</v>
      </c>
      <c r="O104" s="13" t="str">
        <f>SUBSTITUTE( SUBSTITUTE( SUBSTITUTE(SUBSTITUTE(Table2[[#This Row],[unsafeRegexGuess]], ")", "$"), "*", "$"), "+", "$"), "?", "$")</f>
        <v>TODOC</v>
      </c>
      <c r="P104" s="13" t="str">
        <f xml:space="preserve"> SUBSTITUTE( SUBSTITUTE( SUBSTITUTE(Table2[[#This Row],[regexTermInput]], "(", "$"), "|", "$"), "^", "$")</f>
        <v>TODOC</v>
      </c>
      <c r="Q104"/>
      <c r="R104"/>
      <c r="S104"/>
      <c r="T104"/>
      <c r="U104"/>
      <c r="V104"/>
      <c r="X104"/>
    </row>
    <row r="105" spans="2:24" ht="16" customHeight="1">
      <c r="B105" s="7">
        <f>IF( Table2[[#This Row],[target_lang]] = "noted", 1, 0)</f>
        <v>0</v>
      </c>
      <c r="C105" s="7">
        <f xml:space="preserve"> IF( Table2[[#This Row],[target_lang]] = "notedoc", 1, 0)</f>
        <v>0</v>
      </c>
      <c r="D105" s="10" t="s">
        <v>51</v>
      </c>
      <c r="E105" s="10" t="str">
        <f>IF( Table2[[#This Row],[label]] = "", "", IF( Table2[[#This Row],[origin]] = "notedoc",  Table2[[#This Row],[origin]],  "noted"))</f>
        <v/>
      </c>
      <c r="F105" s="18" t="s">
        <v>236</v>
      </c>
      <c r="G105" s="19" t="str">
        <f>""</f>
        <v/>
      </c>
      <c r="H105" s="20" t="str">
        <f>Table2[[#This Row],[label]]</f>
        <v/>
      </c>
      <c r="I105" s="18" t="str">
        <f>""</f>
        <v/>
      </c>
      <c r="J105" s="21" t="str">
        <f>""</f>
        <v/>
      </c>
      <c r="K10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05" s="9" t="str">
        <f>"" &amp;  IF(Table2[[#This Row],[hasUnsafeRegex]] = 0, Table2[[#This Row],[regexTermInput]], "(?:" &amp; Table2[[#This Row],[regexTermInput]] &amp; ")")</f>
        <v/>
      </c>
      <c r="M105" s="11">
        <f>IF( IFERROR( FIND("$", Table2[[#This Row],[unsafeRegexGuess]]), 0) &lt;=0, 0, 1)</f>
        <v>0</v>
      </c>
      <c r="N105" s="11">
        <f>IF( IFERROR( FIND("$", Table2[[#This Row],[anyRegexGuess]]), 0) &lt;=0, 0, 1)</f>
        <v>0</v>
      </c>
      <c r="O105" s="13" t="str">
        <f>SUBSTITUTE( SUBSTITUTE( SUBSTITUTE(SUBSTITUTE(Table2[[#This Row],[unsafeRegexGuess]], ")", "$"), "*", "$"), "+", "$"), "?", "$")</f>
        <v/>
      </c>
      <c r="P105" s="13" t="str">
        <f xml:space="preserve"> SUBSTITUTE( SUBSTITUTE( SUBSTITUTE(Table2[[#This Row],[regexTermInput]], "(", "$"), "|", "$"), "^", "$")</f>
        <v/>
      </c>
      <c r="Q105"/>
      <c r="R105"/>
      <c r="S105"/>
      <c r="T105"/>
      <c r="U105"/>
      <c r="V105"/>
      <c r="X105"/>
    </row>
    <row r="106" spans="2:24">
      <c r="B106" s="7">
        <f>IF( Table2[[#This Row],[target_lang]] = "noted", 1, 0)</f>
        <v>1</v>
      </c>
      <c r="C106" s="7">
        <f xml:space="preserve"> IF( Table2[[#This Row],[target_lang]] = "notedoc", 1, 0)</f>
        <v>0</v>
      </c>
      <c r="D106" s="10" t="s">
        <v>51</v>
      </c>
      <c r="E106" s="10" t="str">
        <f>IF( Table2[[#This Row],[label]] = "", "", IF( Table2[[#This Row],[origin]] = "notedoc",  Table2[[#This Row],[origin]],  "noted"))</f>
        <v>noted</v>
      </c>
      <c r="F106" s="18" t="s">
        <v>236</v>
      </c>
      <c r="G106" s="19" t="s">
        <v>78</v>
      </c>
      <c r="H106" s="20" t="str">
        <f>Table2[[#This Row],[label]]</f>
        <v>ALERT</v>
      </c>
      <c r="I106" s="18" t="s">
        <v>56</v>
      </c>
      <c r="J106" s="21"/>
      <c r="K10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storage.type.class.${1:/downcase}._noted-log._level-{{level}}._feeling-alert.text.noted</v>
      </c>
      <c r="L106" s="9" t="str">
        <f>"" &amp;  IF(Table2[[#This Row],[hasUnsafeRegex]] = 0, Table2[[#This Row],[regexTermInput]], "(?:" &amp; Table2[[#This Row],[regexTermInput]] &amp; ")")</f>
        <v>ALERT</v>
      </c>
      <c r="M106" s="11">
        <f>IF( IFERROR( FIND("$", Table2[[#This Row],[unsafeRegexGuess]]), 0) &lt;=0, 0, 1)</f>
        <v>0</v>
      </c>
      <c r="N106" s="11">
        <f>IF( IFERROR( FIND("$", Table2[[#This Row],[anyRegexGuess]]), 0) &lt;=0, 0, 1)</f>
        <v>0</v>
      </c>
      <c r="O106" s="13" t="str">
        <f>SUBSTITUTE( SUBSTITUTE( SUBSTITUTE(SUBSTITUTE(Table2[[#This Row],[unsafeRegexGuess]], ")", "$"), "*", "$"), "+", "$"), "?", "$")</f>
        <v>ALERT</v>
      </c>
      <c r="P106" s="13" t="str">
        <f xml:space="preserve"> SUBSTITUTE( SUBSTITUTE( SUBSTITUTE(Table2[[#This Row],[regexTermInput]], "(", "$"), "|", "$"), "^", "$")</f>
        <v>ALERT</v>
      </c>
      <c r="Q106"/>
      <c r="R106"/>
      <c r="S106"/>
      <c r="T106"/>
      <c r="U106"/>
      <c r="V106"/>
      <c r="X106"/>
    </row>
    <row r="107" spans="2:24">
      <c r="B107" s="7">
        <f>IF( Table2[[#This Row],[target_lang]] = "noted", 1, 0)</f>
        <v>1</v>
      </c>
      <c r="C107" s="7">
        <f xml:space="preserve"> IF( Table2[[#This Row],[target_lang]] = "notedoc", 1, 0)</f>
        <v>0</v>
      </c>
      <c r="D107" s="10" t="s">
        <v>51</v>
      </c>
      <c r="E107" s="10" t="str">
        <f>IF( Table2[[#This Row],[label]] = "", "", IF( Table2[[#This Row],[origin]] = "notedoc",  Table2[[#This Row],[origin]],  "noted"))</f>
        <v>noted</v>
      </c>
      <c r="F107" s="18" t="s">
        <v>236</v>
      </c>
      <c r="G107" s="19" t="s">
        <v>66</v>
      </c>
      <c r="H107" s="20" t="str">
        <f>Table2[[#This Row],[label]]</f>
        <v>CRITICAL</v>
      </c>
      <c r="I107" s="18" t="s">
        <v>308</v>
      </c>
      <c r="J107" s="21"/>
      <c r="K10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storage.type.class.${1:/downcase}._noted-log._level-{{level}}._feeling-bad.3.text.noted</v>
      </c>
      <c r="L107" s="9" t="str">
        <f>"" &amp;  IF(Table2[[#This Row],[hasUnsafeRegex]] = 0, Table2[[#This Row],[regexTermInput]], "(?:" &amp; Table2[[#This Row],[regexTermInput]] &amp; ")")</f>
        <v>CRITICAL</v>
      </c>
      <c r="M107" s="11">
        <f>IF( IFERROR( FIND("$", Table2[[#This Row],[unsafeRegexGuess]]), 0) &lt;=0, 0, 1)</f>
        <v>0</v>
      </c>
      <c r="N107" s="11">
        <f>IF( IFERROR( FIND("$", Table2[[#This Row],[anyRegexGuess]]), 0) &lt;=0, 0, 1)</f>
        <v>0</v>
      </c>
      <c r="O107" s="13" t="str">
        <f>SUBSTITUTE( SUBSTITUTE( SUBSTITUTE(SUBSTITUTE(Table2[[#This Row],[unsafeRegexGuess]], ")", "$"), "*", "$"), "+", "$"), "?", "$")</f>
        <v>CRITICAL</v>
      </c>
      <c r="P107" s="13" t="str">
        <f xml:space="preserve"> SUBSTITUTE( SUBSTITUTE( SUBSTITUTE(Table2[[#This Row],[regexTermInput]], "(", "$"), "|", "$"), "^", "$")</f>
        <v>CRITICAL</v>
      </c>
      <c r="Q107"/>
      <c r="R107"/>
      <c r="S107"/>
      <c r="T107"/>
      <c r="U107"/>
      <c r="V107"/>
      <c r="X107"/>
    </row>
    <row r="108" spans="2:24">
      <c r="B108" s="7">
        <f>IF( Table2[[#This Row],[target_lang]] = "noted", 1, 0)</f>
        <v>1</v>
      </c>
      <c r="C108" s="7">
        <f xml:space="preserve"> IF( Table2[[#This Row],[target_lang]] = "notedoc", 1, 0)</f>
        <v>0</v>
      </c>
      <c r="D108" s="10" t="s">
        <v>51</v>
      </c>
      <c r="E108" s="10" t="str">
        <f>IF( Table2[[#This Row],[label]] = "", "", IF( Table2[[#This Row],[origin]] = "notedoc",  Table2[[#This Row],[origin]],  "noted"))</f>
        <v>noted</v>
      </c>
      <c r="F108" s="18" t="s">
        <v>236</v>
      </c>
      <c r="G108" s="19" t="s">
        <v>79</v>
      </c>
      <c r="H108" s="20" t="str">
        <f>Table2[[#This Row],[label]]</f>
        <v>EMERGENCY</v>
      </c>
      <c r="I108" s="18" t="s">
        <v>310</v>
      </c>
      <c r="J108" s="21"/>
      <c r="K10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storage.type.class.${1:/downcase}._noted-log._level-{{level}}._feeling-bad.4.text.noted</v>
      </c>
      <c r="L108" s="9" t="str">
        <f>"" &amp;  IF(Table2[[#This Row],[hasUnsafeRegex]] = 0, Table2[[#This Row],[regexTermInput]], "(?:" &amp; Table2[[#This Row],[regexTermInput]] &amp; ")")</f>
        <v>EMERGENCY</v>
      </c>
      <c r="M108" s="11">
        <f>IF( IFERROR( FIND("$", Table2[[#This Row],[unsafeRegexGuess]]), 0) &lt;=0, 0, 1)</f>
        <v>0</v>
      </c>
      <c r="N108" s="11">
        <f>IF( IFERROR( FIND("$", Table2[[#This Row],[anyRegexGuess]]), 0) &lt;=0, 0, 1)</f>
        <v>0</v>
      </c>
      <c r="O108" s="13" t="str">
        <f>SUBSTITUTE( SUBSTITUTE( SUBSTITUTE(SUBSTITUTE(Table2[[#This Row],[unsafeRegexGuess]], ")", "$"), "*", "$"), "+", "$"), "?", "$")</f>
        <v>EMERGENCY</v>
      </c>
      <c r="P108" s="13" t="str">
        <f xml:space="preserve"> SUBSTITUTE( SUBSTITUTE( SUBSTITUTE(Table2[[#This Row],[regexTermInput]], "(", "$"), "|", "$"), "^", "$")</f>
        <v>EMERGENCY</v>
      </c>
      <c r="Q108"/>
      <c r="R108"/>
      <c r="S108"/>
      <c r="T108"/>
      <c r="U108"/>
      <c r="V108"/>
      <c r="X108"/>
    </row>
    <row r="109" spans="2:24">
      <c r="B109" s="7">
        <f>IF( Table2[[#This Row],[target_lang]] = "noted", 1, 0)</f>
        <v>1</v>
      </c>
      <c r="C109" s="7">
        <f xml:space="preserve"> IF( Table2[[#This Row],[target_lang]] = "notedoc", 1, 0)</f>
        <v>0</v>
      </c>
      <c r="D109" s="10" t="s">
        <v>48</v>
      </c>
      <c r="E109" s="10" t="str">
        <f>IF( Table2[[#This Row],[label]] = "", "", IF( Table2[[#This Row],[origin]] = "notedoc",  Table2[[#This Row],[origin]],  "noted"))</f>
        <v>noted</v>
      </c>
      <c r="F109" s="18" t="s">
        <v>236</v>
      </c>
      <c r="G109" s="19" t="s">
        <v>36</v>
      </c>
      <c r="H109" s="20" t="str">
        <f>Table2[[#This Row],[label]]</f>
        <v>ERROR</v>
      </c>
      <c r="I109" s="18" t="s">
        <v>65</v>
      </c>
      <c r="J109" s="21"/>
      <c r="K10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storage.type.class.${1:/downcase}._noted-log._level-{{level}}._feeling-bad.text.noted</v>
      </c>
      <c r="L109" s="9" t="str">
        <f>"" &amp;  IF(Table2[[#This Row],[hasUnsafeRegex]] = 0, Table2[[#This Row],[regexTermInput]], "(?:" &amp; Table2[[#This Row],[regexTermInput]] &amp; ")")</f>
        <v>ERROR</v>
      </c>
      <c r="M109" s="11">
        <f>IF( IFERROR( FIND("$", Table2[[#This Row],[unsafeRegexGuess]]), 0) &lt;=0, 0, 1)</f>
        <v>0</v>
      </c>
      <c r="N109" s="11">
        <f>IF( IFERROR( FIND("$", Table2[[#This Row],[anyRegexGuess]]), 0) &lt;=0, 0, 1)</f>
        <v>0</v>
      </c>
      <c r="O109" s="13" t="str">
        <f>SUBSTITUTE( SUBSTITUTE( SUBSTITUTE(SUBSTITUTE(Table2[[#This Row],[unsafeRegexGuess]], ")", "$"), "*", "$"), "+", "$"), "?", "$")</f>
        <v>ERROR</v>
      </c>
      <c r="P109" s="13" t="str">
        <f xml:space="preserve"> SUBSTITUTE( SUBSTITUTE( SUBSTITUTE(Table2[[#This Row],[regexTermInput]], "(", "$"), "|", "$"), "^", "$")</f>
        <v>ERROR</v>
      </c>
      <c r="Q109"/>
      <c r="R109"/>
      <c r="S109"/>
      <c r="T109"/>
      <c r="U109"/>
      <c r="V109"/>
      <c r="X109"/>
    </row>
    <row r="110" spans="2:24">
      <c r="B110" s="7">
        <f>IF( Table2[[#This Row],[target_lang]] = "noted", 1, 0)</f>
        <v>1</v>
      </c>
      <c r="C110" s="7">
        <f xml:space="preserve"> IF( Table2[[#This Row],[target_lang]] = "notedoc", 1, 0)</f>
        <v>0</v>
      </c>
      <c r="D110" s="10" t="s">
        <v>51</v>
      </c>
      <c r="E110" s="10" t="str">
        <f>IF( Table2[[#This Row],[label]] = "", "", IF( Table2[[#This Row],[origin]] = "notedoc",  Table2[[#This Row],[origin]],  "noted"))</f>
        <v>noted</v>
      </c>
      <c r="F110" s="18" t="s">
        <v>236</v>
      </c>
      <c r="G110" s="19" t="s">
        <v>2</v>
      </c>
      <c r="H110" s="20" t="str">
        <f>Table2[[#This Row],[label]]</f>
        <v>FATAL</v>
      </c>
      <c r="I110" s="18" t="s">
        <v>309</v>
      </c>
      <c r="J110" s="21"/>
      <c r="K11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storage.type.class.${1:/downcase}._noted-log._level-{{level}}._feeling-bad.2.text.noted</v>
      </c>
      <c r="L110" s="9" t="str">
        <f>"" &amp;  IF(Table2[[#This Row],[hasUnsafeRegex]] = 0, Table2[[#This Row],[regexTermInput]], "(?:" &amp; Table2[[#This Row],[regexTermInput]] &amp; ")")</f>
        <v>FATAL</v>
      </c>
      <c r="M110" s="11">
        <f>IF( IFERROR( FIND("$", Table2[[#This Row],[unsafeRegexGuess]]), 0) &lt;=0, 0, 1)</f>
        <v>0</v>
      </c>
      <c r="N110" s="11">
        <f>IF( IFERROR( FIND("$", Table2[[#This Row],[anyRegexGuess]]), 0) &lt;=0, 0, 1)</f>
        <v>0</v>
      </c>
      <c r="O110" s="13" t="str">
        <f>SUBSTITUTE( SUBSTITUTE( SUBSTITUTE(SUBSTITUTE(Table2[[#This Row],[unsafeRegexGuess]], ")", "$"), "*", "$"), "+", "$"), "?", "$")</f>
        <v>FATAL</v>
      </c>
      <c r="P110" s="13" t="str">
        <f xml:space="preserve"> SUBSTITUTE( SUBSTITUTE( SUBSTITUTE(Table2[[#This Row],[regexTermInput]], "(", "$"), "|", "$"), "^", "$")</f>
        <v>FATAL</v>
      </c>
      <c r="Q110"/>
      <c r="R110"/>
      <c r="S110"/>
      <c r="T110"/>
      <c r="U110"/>
      <c r="V110"/>
      <c r="X110"/>
    </row>
    <row r="111" spans="2:24" ht="15" customHeight="1">
      <c r="B111" s="7">
        <f>IF( Table2[[#This Row],[target_lang]] = "noted", 1, 0)</f>
        <v>1</v>
      </c>
      <c r="C111" s="7">
        <f xml:space="preserve"> IF( Table2[[#This Row],[target_lang]] = "notedoc", 1, 0)</f>
        <v>0</v>
      </c>
      <c r="D111" s="10" t="s">
        <v>51</v>
      </c>
      <c r="E111" s="10" t="str">
        <f>IF( Table2[[#This Row],[label]] = "", "", IF( Table2[[#This Row],[origin]] = "notedoc",  Table2[[#This Row],[origin]],  "noted"))</f>
        <v>noted</v>
      </c>
      <c r="F111" s="18" t="s">
        <v>236</v>
      </c>
      <c r="G111" s="19" t="s">
        <v>81</v>
      </c>
      <c r="H111" s="20" t="str">
        <f>Table2[[#This Row],[label]]</f>
        <v>PANIC</v>
      </c>
      <c r="I111" s="18" t="s">
        <v>311</v>
      </c>
      <c r="J111" s="21"/>
      <c r="K11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storage.type.class.${1:/downcase}._noted-log._level-{{level}}._feeling-bad.5.text.noted</v>
      </c>
      <c r="L111" s="9" t="str">
        <f>"" &amp;  IF(Table2[[#This Row],[hasUnsafeRegex]] = 0, Table2[[#This Row],[regexTermInput]], "(?:" &amp; Table2[[#This Row],[regexTermInput]] &amp; ")")</f>
        <v>PANIC</v>
      </c>
      <c r="M111" s="11">
        <f>IF( IFERROR( FIND("$", Table2[[#This Row],[unsafeRegexGuess]]), 0) &lt;=0, 0, 1)</f>
        <v>0</v>
      </c>
      <c r="N111" s="11">
        <f>IF( IFERROR( FIND("$", Table2[[#This Row],[anyRegexGuess]]), 0) &lt;=0, 0, 1)</f>
        <v>0</v>
      </c>
      <c r="O111" s="13" t="str">
        <f>SUBSTITUTE( SUBSTITUTE( SUBSTITUTE(SUBSTITUTE(Table2[[#This Row],[unsafeRegexGuess]], ")", "$"), "*", "$"), "+", "$"), "?", "$")</f>
        <v>PANIC</v>
      </c>
      <c r="P111" s="13" t="str">
        <f xml:space="preserve"> SUBSTITUTE( SUBSTITUTE( SUBSTITUTE(Table2[[#This Row],[regexTermInput]], "(", "$"), "|", "$"), "^", "$")</f>
        <v>PANIC</v>
      </c>
      <c r="Q111"/>
      <c r="R111"/>
      <c r="S111"/>
      <c r="T111"/>
      <c r="U111"/>
      <c r="V111"/>
      <c r="X111"/>
    </row>
    <row r="112" spans="2:24">
      <c r="B112" s="7">
        <f>IF( Table2[[#This Row],[target_lang]] = "noted", 1, 0)</f>
        <v>1</v>
      </c>
      <c r="C112" s="7">
        <f xml:space="preserve"> IF( Table2[[#This Row],[target_lang]] = "notedoc", 1, 0)</f>
        <v>0</v>
      </c>
      <c r="D112" s="10" t="s">
        <v>48</v>
      </c>
      <c r="E112" s="10" t="str">
        <f>IF( Table2[[#This Row],[label]] = "", "", IF( Table2[[#This Row],[origin]] = "notedoc",  Table2[[#This Row],[origin]],  "noted"))</f>
        <v>noted</v>
      </c>
      <c r="F112" s="18" t="s">
        <v>236</v>
      </c>
      <c r="G112" s="19" t="s">
        <v>27</v>
      </c>
      <c r="H112" s="20" t="str">
        <f>Table2[[#This Row],[label]]</f>
        <v>WARN</v>
      </c>
      <c r="I112" s="18" t="s">
        <v>56</v>
      </c>
      <c r="J112" s="21"/>
      <c r="K11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storage.type.class.${1:/downcase}._noted-log._level-{{level}}._feeling-alert.text.noted</v>
      </c>
      <c r="L112" s="9" t="str">
        <f>"" &amp;  IF(Table2[[#This Row],[hasUnsafeRegex]] = 0, Table2[[#This Row],[regexTermInput]], "(?:" &amp; Table2[[#This Row],[regexTermInput]] &amp; ")")</f>
        <v>WARN</v>
      </c>
      <c r="M112" s="11">
        <f>IF( IFERROR( FIND("$", Table2[[#This Row],[unsafeRegexGuess]]), 0) &lt;=0, 0, 1)</f>
        <v>0</v>
      </c>
      <c r="N112" s="11">
        <f>IF( IFERROR( FIND("$", Table2[[#This Row],[anyRegexGuess]]), 0) &lt;=0, 0, 1)</f>
        <v>0</v>
      </c>
      <c r="O112" s="13" t="str">
        <f>SUBSTITUTE( SUBSTITUTE( SUBSTITUTE(SUBSTITUTE(Table2[[#This Row],[unsafeRegexGuess]], ")", "$"), "*", "$"), "+", "$"), "?", "$")</f>
        <v>WARN</v>
      </c>
      <c r="P112" s="13" t="str">
        <f xml:space="preserve"> SUBSTITUTE( SUBSTITUTE( SUBSTITUTE(Table2[[#This Row],[regexTermInput]], "(", "$"), "|", "$"), "^", "$")</f>
        <v>WARN</v>
      </c>
      <c r="Q112"/>
      <c r="R112"/>
      <c r="S112"/>
      <c r="T112"/>
      <c r="U112"/>
      <c r="V112"/>
      <c r="X112"/>
    </row>
    <row r="113" spans="2:24">
      <c r="B113" s="7">
        <f>IF( Table2[[#This Row],[target_lang]] = "noted", 1, 0)</f>
        <v>1</v>
      </c>
      <c r="C113" s="7">
        <f xml:space="preserve"> IF( Table2[[#This Row],[target_lang]] = "notedoc", 1, 0)</f>
        <v>0</v>
      </c>
      <c r="D113" s="16" t="s">
        <v>43</v>
      </c>
      <c r="E113" s="10" t="str">
        <f>IF( Table2[[#This Row],[label]] = "", "", IF( Table2[[#This Row],[origin]] = "notedoc",  Table2[[#This Row],[origin]],  "noted"))</f>
        <v>noted</v>
      </c>
      <c r="F113" s="18" t="s">
        <v>236</v>
      </c>
      <c r="G113" s="19" t="s">
        <v>1</v>
      </c>
      <c r="H113" s="20" t="str">
        <f>Table2[[#This Row],[label]]</f>
        <v>DEBUG</v>
      </c>
      <c r="I113" s="24" t="s">
        <v>304</v>
      </c>
      <c r="J113" s="21"/>
      <c r="K11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storage.type.class.${1:/downcase}._noted-log._level-{{level}}._feeling-bland.text.noted</v>
      </c>
      <c r="L113" s="9" t="str">
        <f>"" &amp;  IF(Table2[[#This Row],[hasUnsafeRegex]] = 0, Table2[[#This Row],[regexTermInput]], "(?:" &amp; Table2[[#This Row],[regexTermInput]] &amp; ")")</f>
        <v>DEBUG</v>
      </c>
      <c r="M113" s="11">
        <f>IF( IFERROR( FIND("$", Table2[[#This Row],[unsafeRegexGuess]]), 0) &lt;=0, 0, 1)</f>
        <v>0</v>
      </c>
      <c r="N113" s="11">
        <f>IF( IFERROR( FIND("$", Table2[[#This Row],[anyRegexGuess]]), 0) &lt;=0, 0, 1)</f>
        <v>0</v>
      </c>
      <c r="O113" s="13" t="str">
        <f>SUBSTITUTE( SUBSTITUTE( SUBSTITUTE(SUBSTITUTE(Table2[[#This Row],[unsafeRegexGuess]], ")", "$"), "*", "$"), "+", "$"), "?", "$")</f>
        <v>DEBUG</v>
      </c>
      <c r="P113" s="13" t="str">
        <f xml:space="preserve"> SUBSTITUTE( SUBSTITUTE( SUBSTITUTE(Table2[[#This Row],[regexTermInput]], "(", "$"), "|", "$"), "^", "$")</f>
        <v>DEBUG</v>
      </c>
      <c r="Q113"/>
      <c r="R113"/>
      <c r="S113"/>
      <c r="T113"/>
      <c r="U113"/>
      <c r="V113"/>
      <c r="X113"/>
    </row>
    <row r="114" spans="2:24">
      <c r="B114" s="7">
        <f>IF( Table2[[#This Row],[target_lang]] = "noted", 1, 0)</f>
        <v>1</v>
      </c>
      <c r="C114" s="7">
        <f xml:space="preserve"> IF( Table2[[#This Row],[target_lang]] = "notedoc", 1, 0)</f>
        <v>0</v>
      </c>
      <c r="D114" s="10" t="s">
        <v>51</v>
      </c>
      <c r="E114" s="10" t="str">
        <f>IF( Table2[[#This Row],[label]] = "", "", IF( Table2[[#This Row],[origin]] = "notedoc",  Table2[[#This Row],[origin]],  "noted"))</f>
        <v>noted</v>
      </c>
      <c r="F114" s="18" t="s">
        <v>236</v>
      </c>
      <c r="G114" s="19" t="s">
        <v>76</v>
      </c>
      <c r="H114" s="20" t="str">
        <f>Table2[[#This Row],[label]]</f>
        <v>TRACE</v>
      </c>
      <c r="I114" s="18" t="s">
        <v>306</v>
      </c>
      <c r="J114" s="21"/>
      <c r="K11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storage.type.class.${1:/downcase}._noted-log._level-{{level}}._feeling-bland.verbose.text.noted</v>
      </c>
      <c r="L114" s="9" t="str">
        <f>"" &amp;  IF(Table2[[#This Row],[hasUnsafeRegex]] = 0, Table2[[#This Row],[regexTermInput]], "(?:" &amp; Table2[[#This Row],[regexTermInput]] &amp; ")")</f>
        <v>TRACE</v>
      </c>
      <c r="M114" s="11">
        <f>IF( IFERROR( FIND("$", Table2[[#This Row],[unsafeRegexGuess]]), 0) &lt;=0, 0, 1)</f>
        <v>0</v>
      </c>
      <c r="N114" s="11">
        <f>IF( IFERROR( FIND("$", Table2[[#This Row],[anyRegexGuess]]), 0) &lt;=0, 0, 1)</f>
        <v>0</v>
      </c>
      <c r="O114" s="13" t="str">
        <f>SUBSTITUTE( SUBSTITUTE( SUBSTITUTE(SUBSTITUTE(Table2[[#This Row],[unsafeRegexGuess]], ")", "$"), "*", "$"), "+", "$"), "?", "$")</f>
        <v>TRACE</v>
      </c>
      <c r="P114" s="13" t="str">
        <f xml:space="preserve"> SUBSTITUTE( SUBSTITUTE( SUBSTITUTE(Table2[[#This Row],[regexTermInput]], "(", "$"), "|", "$"), "^", "$")</f>
        <v>TRACE</v>
      </c>
      <c r="Q114"/>
      <c r="R114"/>
      <c r="S114"/>
      <c r="T114"/>
      <c r="U114"/>
      <c r="V114"/>
      <c r="X114"/>
    </row>
    <row r="115" spans="2:24">
      <c r="B115" s="7">
        <f>IF( Table2[[#This Row],[target_lang]] = "noted", 1, 0)</f>
        <v>1</v>
      </c>
      <c r="C115" s="7">
        <f xml:space="preserve"> IF( Table2[[#This Row],[target_lang]] = "notedoc", 1, 0)</f>
        <v>0</v>
      </c>
      <c r="D115" s="10" t="s">
        <v>48</v>
      </c>
      <c r="E115" s="10" t="str">
        <f>IF( Table2[[#This Row],[label]] = "", "", IF( Table2[[#This Row],[origin]] = "notedoc",  Table2[[#This Row],[origin]],  "noted"))</f>
        <v>noted</v>
      </c>
      <c r="F115" s="18" t="s">
        <v>236</v>
      </c>
      <c r="G115" s="19" t="s">
        <v>4</v>
      </c>
      <c r="H115" s="20" t="str">
        <f>Table2[[#This Row],[label]]</f>
        <v>INFO</v>
      </c>
      <c r="I115" s="24" t="s">
        <v>235</v>
      </c>
      <c r="J115" s="21"/>
      <c r="K11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storage.type.class.${1:/downcase}._noted-log._level-{{level}}._feeling-neutral.text.noted</v>
      </c>
      <c r="L115" s="9" t="str">
        <f>"" &amp;  IF(Table2[[#This Row],[hasUnsafeRegex]] = 0, Table2[[#This Row],[regexTermInput]], "(?:" &amp; Table2[[#This Row],[regexTermInput]] &amp; ")")</f>
        <v>INFO</v>
      </c>
      <c r="M115" s="11">
        <f>IF( IFERROR( FIND("$", Table2[[#This Row],[unsafeRegexGuess]]), 0) &lt;=0, 0, 1)</f>
        <v>0</v>
      </c>
      <c r="N115" s="11">
        <f>IF( IFERROR( FIND("$", Table2[[#This Row],[anyRegexGuess]]), 0) &lt;=0, 0, 1)</f>
        <v>0</v>
      </c>
      <c r="O115" s="13" t="str">
        <f>SUBSTITUTE( SUBSTITUTE( SUBSTITUTE(SUBSTITUTE(Table2[[#This Row],[unsafeRegexGuess]], ")", "$"), "*", "$"), "+", "$"), "?", "$")</f>
        <v>INFO</v>
      </c>
      <c r="P115" s="13" t="str">
        <f xml:space="preserve"> SUBSTITUTE( SUBSTITUTE( SUBSTITUTE(Table2[[#This Row],[regexTermInput]], "(", "$"), "|", "$"), "^", "$")</f>
        <v>INFO</v>
      </c>
      <c r="Q115"/>
      <c r="R115"/>
      <c r="S115"/>
      <c r="T115"/>
      <c r="U115"/>
      <c r="V115"/>
      <c r="X115"/>
    </row>
    <row r="116" spans="2:24">
      <c r="B116" s="7">
        <f>IF( Table2[[#This Row],[target_lang]] = "noted", 1, 0)</f>
        <v>1</v>
      </c>
      <c r="C116" s="7">
        <f xml:space="preserve"> IF( Table2[[#This Row],[target_lang]] = "notedoc", 1, 0)</f>
        <v>0</v>
      </c>
      <c r="D116" s="10" t="s">
        <v>51</v>
      </c>
      <c r="E116" s="10" t="str">
        <f>IF( Table2[[#This Row],[label]] = "", "", IF( Table2[[#This Row],[origin]] = "notedoc",  Table2[[#This Row],[origin]],  "noted"))</f>
        <v>noted</v>
      </c>
      <c r="F116" s="18" t="s">
        <v>236</v>
      </c>
      <c r="G116" s="19" t="s">
        <v>80</v>
      </c>
      <c r="H116" s="20" t="str">
        <f>Table2[[#This Row],[label]]</f>
        <v>NOTICE</v>
      </c>
      <c r="I116" s="24" t="s">
        <v>306</v>
      </c>
      <c r="J116" s="21"/>
      <c r="K11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storage.type.class.${1:/downcase}._noted-log._level-{{level}}._feeling-bland.verbose.text.noted</v>
      </c>
      <c r="L116" s="9" t="str">
        <f>"" &amp;  IF(Table2[[#This Row],[hasUnsafeRegex]] = 0, Table2[[#This Row],[regexTermInput]], "(?:" &amp; Table2[[#This Row],[regexTermInput]] &amp; ")")</f>
        <v>NOTICE</v>
      </c>
      <c r="M116" s="11">
        <f>IF( IFERROR( FIND("$", Table2[[#This Row],[unsafeRegexGuess]]), 0) &lt;=0, 0, 1)</f>
        <v>0</v>
      </c>
      <c r="N116" s="11">
        <f>IF( IFERROR( FIND("$", Table2[[#This Row],[anyRegexGuess]]), 0) &lt;=0, 0, 1)</f>
        <v>0</v>
      </c>
      <c r="O116" s="13" t="str">
        <f>SUBSTITUTE( SUBSTITUTE( SUBSTITUTE(SUBSTITUTE(Table2[[#This Row],[unsafeRegexGuess]], ")", "$"), "*", "$"), "+", "$"), "?", "$")</f>
        <v>NOTICE</v>
      </c>
      <c r="P116" s="13" t="str">
        <f xml:space="preserve"> SUBSTITUTE( SUBSTITUTE( SUBSTITUTE(Table2[[#This Row],[regexTermInput]], "(", "$"), "|", "$"), "^", "$")</f>
        <v>NOTICE</v>
      </c>
      <c r="Q116"/>
      <c r="R116"/>
      <c r="S116"/>
      <c r="T116"/>
      <c r="U116"/>
      <c r="V116"/>
      <c r="X116"/>
    </row>
    <row r="117" spans="2:24" ht="16" customHeight="1">
      <c r="B117" s="7">
        <f>IF( Table2[[#This Row],[target_lang]] = "noted", 1, 0)</f>
        <v>0</v>
      </c>
      <c r="C117" s="7">
        <f xml:space="preserve"> IF( Table2[[#This Row],[target_lang]] = "notedoc", 1, 0)</f>
        <v>0</v>
      </c>
      <c r="D117" s="10" t="s">
        <v>51</v>
      </c>
      <c r="E117" s="10" t="str">
        <f>IF( Table2[[#This Row],[label]] = "", "", IF( Table2[[#This Row],[origin]] = "notedoc",  Table2[[#This Row],[origin]],  "noted"))</f>
        <v/>
      </c>
      <c r="F117" s="18" t="s">
        <v>60</v>
      </c>
      <c r="G117" s="19" t="str">
        <f>""</f>
        <v/>
      </c>
      <c r="H117" s="20" t="str">
        <f>Table2[[#This Row],[label]]</f>
        <v/>
      </c>
      <c r="I117" s="18" t="str">
        <f>""</f>
        <v/>
      </c>
      <c r="J117" s="21"/>
      <c r="K11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17" s="9" t="str">
        <f>"" &amp;  IF(Table2[[#This Row],[hasUnsafeRegex]] = 0, Table2[[#This Row],[regexTermInput]], "(?:" &amp; Table2[[#This Row],[regexTermInput]] &amp; ")")</f>
        <v/>
      </c>
      <c r="M117" s="11">
        <f>IF( IFERROR( FIND("$", Table2[[#This Row],[unsafeRegexGuess]]), 0) &lt;=0, 0, 1)</f>
        <v>0</v>
      </c>
      <c r="N117" s="11">
        <f>IF( IFERROR( FIND("$", Table2[[#This Row],[anyRegexGuess]]), 0) &lt;=0, 0, 1)</f>
        <v>0</v>
      </c>
      <c r="O117" s="13" t="str">
        <f>SUBSTITUTE( SUBSTITUTE( SUBSTITUTE(SUBSTITUTE(Table2[[#This Row],[unsafeRegexGuess]], ")", "$"), "*", "$"), "+", "$"), "?", "$")</f>
        <v/>
      </c>
      <c r="P117" s="13" t="str">
        <f xml:space="preserve"> SUBSTITUTE( SUBSTITUTE( SUBSTITUTE(Table2[[#This Row],[regexTermInput]], "(", "$"), "|", "$"), "^", "$")</f>
        <v/>
      </c>
      <c r="Q117"/>
      <c r="R117"/>
      <c r="S117"/>
      <c r="T117"/>
      <c r="U117"/>
      <c r="V117"/>
      <c r="X117"/>
    </row>
    <row r="118" spans="2:24">
      <c r="B118" s="7">
        <f>IF( Table2[[#This Row],[target_lang]] = "noted", 1, 0)</f>
        <v>1</v>
      </c>
      <c r="C118" s="7">
        <f xml:space="preserve"> IF( Table2[[#This Row],[target_lang]] = "notedoc", 1, 0)</f>
        <v>0</v>
      </c>
      <c r="D118" s="10" t="s">
        <v>51</v>
      </c>
      <c r="E118" s="10" t="str">
        <f>IF( Table2[[#This Row],[label]] = "", "", IF( Table2[[#This Row],[origin]] = "notedoc",  Table2[[#This Row],[origin]],  "noted"))</f>
        <v>noted</v>
      </c>
      <c r="F118" s="18" t="s">
        <v>60</v>
      </c>
      <c r="G118" s="19" t="s">
        <v>68</v>
      </c>
      <c r="H118" s="20" t="str">
        <f>Table2[[#This Row],[label]]</f>
        <v>DAGOLDEN</v>
      </c>
      <c r="I118" s="18" t="s">
        <v>235</v>
      </c>
      <c r="J118" s="21"/>
      <c r="K11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18" s="9" t="str">
        <f>"" &amp;  IF(Table2[[#This Row],[hasUnsafeRegex]] = 0, Table2[[#This Row],[regexTermInput]], "(?:" &amp; Table2[[#This Row],[regexTermInput]] &amp; ")")</f>
        <v>DAGOLDEN</v>
      </c>
      <c r="M118" s="11">
        <f>IF( IFERROR( FIND("$", Table2[[#This Row],[unsafeRegexGuess]]), 0) &lt;=0, 0, 1)</f>
        <v>0</v>
      </c>
      <c r="N118" s="11">
        <f>IF( IFERROR( FIND("$", Table2[[#This Row],[anyRegexGuess]]), 0) &lt;=0, 0, 1)</f>
        <v>0</v>
      </c>
      <c r="O118" s="13" t="str">
        <f>SUBSTITUTE( SUBSTITUTE( SUBSTITUTE(SUBSTITUTE(Table2[[#This Row],[unsafeRegexGuess]], ")", "$"), "*", "$"), "+", "$"), "?", "$")</f>
        <v>DAGOLDEN</v>
      </c>
      <c r="P118" s="13" t="str">
        <f xml:space="preserve"> SUBSTITUTE( SUBSTITUTE( SUBSTITUTE(Table2[[#This Row],[regexTermInput]], "(", "$"), "|", "$"), "^", "$")</f>
        <v>DAGOLDEN</v>
      </c>
      <c r="Q118"/>
      <c r="R118"/>
      <c r="S118"/>
      <c r="T118"/>
      <c r="U118"/>
      <c r="V118"/>
      <c r="X118"/>
    </row>
    <row r="119" spans="2:24">
      <c r="B119" s="7">
        <f>IF( Table2[[#This Row],[target_lang]] = "noted", 1, 0)</f>
        <v>1</v>
      </c>
      <c r="C119" s="7">
        <f xml:space="preserve"> IF( Table2[[#This Row],[target_lang]] = "notedoc", 1, 0)</f>
        <v>0</v>
      </c>
      <c r="D119" s="10" t="s">
        <v>51</v>
      </c>
      <c r="E119" s="10" t="str">
        <f>IF( Table2[[#This Row],[label]] = "", "", IF( Table2[[#This Row],[origin]] = "notedoc",  Table2[[#This Row],[origin]],  "noted"))</f>
        <v>noted</v>
      </c>
      <c r="F119" s="18" t="s">
        <v>60</v>
      </c>
      <c r="G119" s="19" t="s">
        <v>39</v>
      </c>
      <c r="H119" s="20" t="str">
        <f>Table2[[#This Row],[label]]</f>
        <v>ETHER</v>
      </c>
      <c r="I119" s="18" t="s">
        <v>235</v>
      </c>
      <c r="J119" s="21"/>
      <c r="K11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19" s="9" t="str">
        <f>"" &amp;  IF(Table2[[#This Row],[hasUnsafeRegex]] = 0, Table2[[#This Row],[regexTermInput]], "(?:" &amp; Table2[[#This Row],[regexTermInput]] &amp; ")")</f>
        <v>ETHER</v>
      </c>
      <c r="M119" s="11">
        <f>IF( IFERROR( FIND("$", Table2[[#This Row],[unsafeRegexGuess]]), 0) &lt;=0, 0, 1)</f>
        <v>0</v>
      </c>
      <c r="N119" s="11">
        <f>IF( IFERROR( FIND("$", Table2[[#This Row],[anyRegexGuess]]), 0) &lt;=0, 0, 1)</f>
        <v>0</v>
      </c>
      <c r="O119" s="13" t="str">
        <f>SUBSTITUTE( SUBSTITUTE( SUBSTITUTE(SUBSTITUTE(Table2[[#This Row],[unsafeRegexGuess]], ")", "$"), "*", "$"), "+", "$"), "?", "$")</f>
        <v>ETHER</v>
      </c>
      <c r="P119" s="13" t="str">
        <f xml:space="preserve"> SUBSTITUTE( SUBSTITUTE( SUBSTITUTE(Table2[[#This Row],[regexTermInput]], "(", "$"), "|", "$"), "^", "$")</f>
        <v>ETHER</v>
      </c>
      <c r="Q119"/>
      <c r="R119"/>
      <c r="S119"/>
      <c r="T119"/>
      <c r="U119"/>
      <c r="V119"/>
      <c r="X119"/>
    </row>
    <row r="120" spans="2:24">
      <c r="B120" s="7">
        <f>IF( Table2[[#This Row],[target_lang]] = "noted", 1, 0)</f>
        <v>1</v>
      </c>
      <c r="C120" s="7">
        <f xml:space="preserve"> IF( Table2[[#This Row],[target_lang]] = "notedoc", 1, 0)</f>
        <v>0</v>
      </c>
      <c r="D120" s="10" t="s">
        <v>51</v>
      </c>
      <c r="E120" s="10" t="str">
        <f>IF( Table2[[#This Row],[label]] = "", "", IF( Table2[[#This Row],[origin]] = "notedoc",  Table2[[#This Row],[origin]],  "noted"))</f>
        <v>noted</v>
      </c>
      <c r="F120" s="18" t="s">
        <v>60</v>
      </c>
      <c r="G120" s="19" t="s">
        <v>67</v>
      </c>
      <c r="H120" s="20" t="str">
        <f>Table2[[#This Row],[label]]</f>
        <v>KENTNL</v>
      </c>
      <c r="I120" s="18" t="s">
        <v>235</v>
      </c>
      <c r="J120" s="21"/>
      <c r="K12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0" s="9" t="str">
        <f>"" &amp;  IF(Table2[[#This Row],[hasUnsafeRegex]] = 0, Table2[[#This Row],[regexTermInput]], "(?:" &amp; Table2[[#This Row],[regexTermInput]] &amp; ")")</f>
        <v>KENTNL</v>
      </c>
      <c r="M120" s="11">
        <f>IF( IFERROR( FIND("$", Table2[[#This Row],[unsafeRegexGuess]]), 0) &lt;=0, 0, 1)</f>
        <v>0</v>
      </c>
      <c r="N120" s="11">
        <f>IF( IFERROR( FIND("$", Table2[[#This Row],[anyRegexGuess]]), 0) &lt;=0, 0, 1)</f>
        <v>0</v>
      </c>
      <c r="O120" s="13" t="str">
        <f>SUBSTITUTE( SUBSTITUTE( SUBSTITUTE(SUBSTITUTE(Table2[[#This Row],[unsafeRegexGuess]], ")", "$"), "*", "$"), "+", "$"), "?", "$")</f>
        <v>KENTNL</v>
      </c>
      <c r="P120" s="13" t="str">
        <f xml:space="preserve"> SUBSTITUTE( SUBSTITUTE( SUBSTITUTE(Table2[[#This Row],[regexTermInput]], "(", "$"), "|", "$"), "^", "$")</f>
        <v>KENTNL</v>
      </c>
      <c r="Q120"/>
      <c r="R120"/>
      <c r="S120"/>
      <c r="T120"/>
      <c r="U120"/>
      <c r="V120"/>
      <c r="X120"/>
    </row>
    <row r="121" spans="2:24">
      <c r="B121" s="7">
        <f>IF( Table2[[#This Row],[target_lang]] = "noted", 1, 0)</f>
        <v>1</v>
      </c>
      <c r="C121" s="7">
        <f xml:space="preserve"> IF( Table2[[#This Row],[target_lang]] = "notedoc", 1, 0)</f>
        <v>0</v>
      </c>
      <c r="D121" s="10" t="s">
        <v>51</v>
      </c>
      <c r="E121" s="10" t="str">
        <f>IF( Table2[[#This Row],[label]] = "", "", IF( Table2[[#This Row],[origin]] = "notedoc",  Table2[[#This Row],[origin]],  "noted"))</f>
        <v>noted</v>
      </c>
      <c r="F121" s="18" t="s">
        <v>60</v>
      </c>
      <c r="G121" s="19" t="s">
        <v>40</v>
      </c>
      <c r="H121" s="20" t="str">
        <f>Table2[[#This Row],[label]]</f>
        <v>TABULO</v>
      </c>
      <c r="I121" s="18" t="s">
        <v>235</v>
      </c>
      <c r="J121" s="21"/>
      <c r="K12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1" s="9" t="str">
        <f>"" &amp;  IF(Table2[[#This Row],[hasUnsafeRegex]] = 0, Table2[[#This Row],[regexTermInput]], "(?:" &amp; Table2[[#This Row],[regexTermInput]] &amp; ")")</f>
        <v>TABULO</v>
      </c>
      <c r="M121" s="11">
        <f>IF( IFERROR( FIND("$", Table2[[#This Row],[unsafeRegexGuess]]), 0) &lt;=0, 0, 1)</f>
        <v>0</v>
      </c>
      <c r="N121" s="11">
        <f>IF( IFERROR( FIND("$", Table2[[#This Row],[anyRegexGuess]]), 0) &lt;=0, 0, 1)</f>
        <v>0</v>
      </c>
      <c r="O121" s="13" t="str">
        <f>SUBSTITUTE( SUBSTITUTE( SUBSTITUTE(SUBSTITUTE(Table2[[#This Row],[unsafeRegexGuess]], ")", "$"), "*", "$"), "+", "$"), "?", "$")</f>
        <v>TABULO</v>
      </c>
      <c r="P121" s="13" t="str">
        <f xml:space="preserve"> SUBSTITUTE( SUBSTITUTE( SUBSTITUTE(Table2[[#This Row],[regexTermInput]], "(", "$"), "|", "$"), "^", "$")</f>
        <v>TABULO</v>
      </c>
      <c r="Q121"/>
      <c r="R121"/>
      <c r="S121"/>
      <c r="T121"/>
      <c r="U121"/>
      <c r="V121"/>
      <c r="X121"/>
    </row>
    <row r="122" spans="2:24">
      <c r="B122" s="7">
        <f>IF( Table2[[#This Row],[target_lang]] = "noted", 1, 0)</f>
        <v>1</v>
      </c>
      <c r="C122" s="7">
        <f xml:space="preserve"> IF( Table2[[#This Row],[target_lang]] = "notedoc", 1, 0)</f>
        <v>0</v>
      </c>
      <c r="D122" s="10" t="s">
        <v>51</v>
      </c>
      <c r="E122" s="10" t="str">
        <f>IF( Table2[[#This Row],[label]] = "", "", IF( Table2[[#This Row],[origin]] = "notedoc",  Table2[[#This Row],[origin]],  "noted"))</f>
        <v>noted</v>
      </c>
      <c r="F122" s="18" t="s">
        <v>60</v>
      </c>
      <c r="G122" s="19" t="s">
        <v>41</v>
      </c>
      <c r="H122" s="20" t="str">
        <f>Table2[[#This Row],[label]]</f>
        <v>TAU</v>
      </c>
      <c r="I122" s="18" t="s">
        <v>235</v>
      </c>
      <c r="J122" s="21"/>
      <c r="K12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storage.type.class.${1:/downcase}._noted-person._level-{{level}}._feeling-neutral.text.noted</v>
      </c>
      <c r="L122" s="9" t="str">
        <f>"" &amp;  IF(Table2[[#This Row],[hasUnsafeRegex]] = 0, Table2[[#This Row],[regexTermInput]], "(?:" &amp; Table2[[#This Row],[regexTermInput]] &amp; ")")</f>
        <v>TAU</v>
      </c>
      <c r="M122" s="11">
        <f>IF( IFERROR( FIND("$", Table2[[#This Row],[unsafeRegexGuess]]), 0) &lt;=0, 0, 1)</f>
        <v>0</v>
      </c>
      <c r="N122" s="11">
        <f>IF( IFERROR( FIND("$", Table2[[#This Row],[anyRegexGuess]]), 0) &lt;=0, 0, 1)</f>
        <v>0</v>
      </c>
      <c r="O122" s="13" t="str">
        <f>SUBSTITUTE( SUBSTITUTE( SUBSTITUTE(SUBSTITUTE(Table2[[#This Row],[unsafeRegexGuess]], ")", "$"), "*", "$"), "+", "$"), "?", "$")</f>
        <v>TAU</v>
      </c>
      <c r="P122" s="13" t="str">
        <f xml:space="preserve"> SUBSTITUTE( SUBSTITUTE( SUBSTITUTE(Table2[[#This Row],[regexTermInput]], "(", "$"), "|", "$"), "^", "$")</f>
        <v>TAU</v>
      </c>
      <c r="Q122"/>
      <c r="R122"/>
      <c r="S122"/>
      <c r="T122"/>
      <c r="U122"/>
      <c r="V122"/>
      <c r="X122"/>
    </row>
    <row r="123" spans="2:24">
      <c r="B123" s="7">
        <f>IF( Table2[[#This Row],[target_lang]] = "noted", 1, 0)</f>
        <v>0</v>
      </c>
      <c r="C123" s="7">
        <f xml:space="preserve"> IF( Table2[[#This Row],[target_lang]] = "notedoc", 1, 0)</f>
        <v>0</v>
      </c>
      <c r="D123" s="10" t="s">
        <v>51</v>
      </c>
      <c r="E123" s="10" t="str">
        <f>IF( Table2[[#This Row],[label]] = "", "", IF( Table2[[#This Row],[origin]] = "notedoc",  Table2[[#This Row],[origin]],  "noted"))</f>
        <v/>
      </c>
      <c r="F123" s="18" t="s">
        <v>75</v>
      </c>
      <c r="G123" s="19" t="s">
        <v>138</v>
      </c>
      <c r="H123" s="20" t="str">
        <f>Table2[[#This Row],[label]]</f>
        <v/>
      </c>
      <c r="I123" s="18" t="str">
        <f>""</f>
        <v/>
      </c>
      <c r="J123" s="21"/>
      <c r="K12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23" s="9" t="str">
        <f>"" &amp;  IF(Table2[[#This Row],[hasUnsafeRegex]] = 0, Table2[[#This Row],[regexTermInput]], "(?:" &amp; Table2[[#This Row],[regexTermInput]] &amp; ")")</f>
        <v/>
      </c>
      <c r="M123" s="11">
        <f>IF( IFERROR( FIND("$", Table2[[#This Row],[unsafeRegexGuess]]), 0) &lt;=0, 0, 1)</f>
        <v>0</v>
      </c>
      <c r="N123" s="11">
        <f>IF( IFERROR( FIND("$", Table2[[#This Row],[anyRegexGuess]]), 0) &lt;=0, 0, 1)</f>
        <v>0</v>
      </c>
      <c r="O123" s="13" t="str">
        <f>SUBSTITUTE( SUBSTITUTE( SUBSTITUTE(SUBSTITUTE(Table2[[#This Row],[unsafeRegexGuess]], ")", "$"), "*", "$"), "+", "$"), "?", "$")</f>
        <v/>
      </c>
      <c r="P123" s="13" t="str">
        <f xml:space="preserve"> SUBSTITUTE( SUBSTITUTE( SUBSTITUTE(Table2[[#This Row],[regexTermInput]], "(", "$"), "|", "$"), "^", "$")</f>
        <v/>
      </c>
      <c r="Q123"/>
      <c r="R123"/>
      <c r="S123"/>
      <c r="T123"/>
      <c r="U123"/>
      <c r="V123"/>
      <c r="X123"/>
    </row>
    <row r="124" spans="2:24">
      <c r="B124" s="7">
        <f>IF( Table2[[#This Row],[target_lang]] = "noted", 1, 0)</f>
        <v>1</v>
      </c>
      <c r="C124" s="7">
        <f xml:space="preserve"> IF( Table2[[#This Row],[target_lang]] = "notedoc", 1, 0)</f>
        <v>0</v>
      </c>
      <c r="D124" s="10" t="s">
        <v>51</v>
      </c>
      <c r="E124" s="10" t="str">
        <f>IF( Table2[[#This Row],[label]] = "", "", IF( Table2[[#This Row],[origin]] = "notedoc",  Table2[[#This Row],[origin]],  "noted"))</f>
        <v>noted</v>
      </c>
      <c r="F124" s="18" t="s">
        <v>75</v>
      </c>
      <c r="G124" s="19" t="s">
        <v>23</v>
      </c>
      <c r="H124" s="20" t="str">
        <f>Table2[[#This Row],[label]]</f>
        <v>ATTENTION</v>
      </c>
      <c r="I124" s="18" t="s">
        <v>56</v>
      </c>
      <c r="J124" s="21"/>
      <c r="K12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4" s="9" t="str">
        <f>"" &amp;  IF(Table2[[#This Row],[hasUnsafeRegex]] = 0, Table2[[#This Row],[regexTermInput]], "(?:" &amp; Table2[[#This Row],[regexTermInput]] &amp; ")")</f>
        <v>ATTENTION</v>
      </c>
      <c r="M124" s="11">
        <f>IF( IFERROR( FIND("$", Table2[[#This Row],[unsafeRegexGuess]]), 0) &lt;=0, 0, 1)</f>
        <v>0</v>
      </c>
      <c r="N124" s="11">
        <f>IF( IFERROR( FIND("$", Table2[[#This Row],[anyRegexGuess]]), 0) &lt;=0, 0, 1)</f>
        <v>0</v>
      </c>
      <c r="O124" s="13" t="str">
        <f>SUBSTITUTE( SUBSTITUTE( SUBSTITUTE(SUBSTITUTE(Table2[[#This Row],[unsafeRegexGuess]], ")", "$"), "*", "$"), "+", "$"), "?", "$")</f>
        <v>ATTENTION</v>
      </c>
      <c r="P124" s="13" t="str">
        <f xml:space="preserve"> SUBSTITUTE( SUBSTITUTE( SUBSTITUTE(Table2[[#This Row],[regexTermInput]], "(", "$"), "|", "$"), "^", "$")</f>
        <v>ATTENTION</v>
      </c>
      <c r="Q124"/>
      <c r="R124"/>
      <c r="S124"/>
      <c r="T124"/>
      <c r="U124"/>
      <c r="V124"/>
      <c r="X124"/>
    </row>
    <row r="125" spans="2:24">
      <c r="B125" s="7">
        <f>IF( Table2[[#This Row],[target_lang]] = "noted", 1, 0)</f>
        <v>1</v>
      </c>
      <c r="C125" s="7">
        <f xml:space="preserve"> IF( Table2[[#This Row],[target_lang]] = "notedoc", 1, 0)</f>
        <v>0</v>
      </c>
      <c r="D125" s="10" t="s">
        <v>51</v>
      </c>
      <c r="E125" s="10" t="str">
        <f>IF( Table2[[#This Row],[label]] = "", "", IF( Table2[[#This Row],[origin]] = "notedoc",  Table2[[#This Row],[origin]],  "noted"))</f>
        <v>noted</v>
      </c>
      <c r="F125" s="18" t="s">
        <v>75</v>
      </c>
      <c r="G125" s="19" t="s">
        <v>24</v>
      </c>
      <c r="H125" s="20" t="str">
        <f>Table2[[#This Row],[label]]</f>
        <v>ATTN</v>
      </c>
      <c r="I125" s="18" t="s">
        <v>56</v>
      </c>
      <c r="J125" s="21"/>
      <c r="K12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5" s="9" t="str">
        <f>"" &amp;  IF(Table2[[#This Row],[hasUnsafeRegex]] = 0, Table2[[#This Row],[regexTermInput]], "(?:" &amp; Table2[[#This Row],[regexTermInput]] &amp; ")")</f>
        <v>ATTN</v>
      </c>
      <c r="M125" s="11">
        <f>IF( IFERROR( FIND("$", Table2[[#This Row],[unsafeRegexGuess]]), 0) &lt;=0, 0, 1)</f>
        <v>0</v>
      </c>
      <c r="N125" s="11">
        <f>IF( IFERROR( FIND("$", Table2[[#This Row],[anyRegexGuess]]), 0) &lt;=0, 0, 1)</f>
        <v>0</v>
      </c>
      <c r="O125" s="13" t="str">
        <f>SUBSTITUTE( SUBSTITUTE( SUBSTITUTE(SUBSTITUTE(Table2[[#This Row],[unsafeRegexGuess]], ")", "$"), "*", "$"), "+", "$"), "?", "$")</f>
        <v>ATTN</v>
      </c>
      <c r="P125" s="13" t="str">
        <f xml:space="preserve"> SUBSTITUTE( SUBSTITUTE( SUBSTITUTE(Table2[[#This Row],[regexTermInput]], "(", "$"), "|", "$"), "^", "$")</f>
        <v>ATTN</v>
      </c>
      <c r="Q125"/>
      <c r="R125"/>
      <c r="S125"/>
      <c r="T125"/>
      <c r="U125"/>
      <c r="V125"/>
      <c r="X125"/>
    </row>
    <row r="126" spans="2:24">
      <c r="B126" s="7">
        <f>IF( Table2[[#This Row],[target_lang]] = "noted", 1, 0)</f>
        <v>1</v>
      </c>
      <c r="C126" s="7">
        <f xml:space="preserve"> IF( Table2[[#This Row],[target_lang]] = "notedoc", 1, 0)</f>
        <v>0</v>
      </c>
      <c r="D126" s="16" t="s">
        <v>43</v>
      </c>
      <c r="E126" s="10" t="str">
        <f>IF( Table2[[#This Row],[label]] = "", "", IF( Table2[[#This Row],[origin]] = "notedoc",  Table2[[#This Row],[origin]],  "noted"))</f>
        <v>noted</v>
      </c>
      <c r="F126" s="18" t="s">
        <v>75</v>
      </c>
      <c r="G126" s="19" t="s">
        <v>25</v>
      </c>
      <c r="H126" s="20" t="str">
        <f>Table2[[#This Row],[label]]</f>
        <v>COMBAK</v>
      </c>
      <c r="I126" s="18" t="s">
        <v>297</v>
      </c>
      <c r="J126" s="21"/>
      <c r="K12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26" s="9" t="str">
        <f>"" &amp;  IF(Table2[[#This Row],[hasUnsafeRegex]] = 0, Table2[[#This Row],[regexTermInput]], "(?:" &amp; Table2[[#This Row],[regexTermInput]] &amp; ")")</f>
        <v>COMBAK</v>
      </c>
      <c r="M126" s="11">
        <f>IF( IFERROR( FIND("$", Table2[[#This Row],[unsafeRegexGuess]]), 0) &lt;=0, 0, 1)</f>
        <v>0</v>
      </c>
      <c r="N126" s="11">
        <f>IF( IFERROR( FIND("$", Table2[[#This Row],[anyRegexGuess]]), 0) &lt;=0, 0, 1)</f>
        <v>0</v>
      </c>
      <c r="O126" s="13" t="str">
        <f>SUBSTITUTE( SUBSTITUTE( SUBSTITUTE(SUBSTITUTE(Table2[[#This Row],[unsafeRegexGuess]], ")", "$"), "*", "$"), "+", "$"), "?", "$")</f>
        <v>COMBAK</v>
      </c>
      <c r="P126" s="13" t="str">
        <f xml:space="preserve"> SUBSTITUTE( SUBSTITUTE( SUBSTITUTE(Table2[[#This Row],[regexTermInput]], "(", "$"), "|", "$"), "^", "$")</f>
        <v>COMBAK</v>
      </c>
      <c r="Q126"/>
      <c r="R126"/>
      <c r="S126"/>
      <c r="T126"/>
      <c r="U126"/>
      <c r="V126"/>
      <c r="X126"/>
    </row>
    <row r="127" spans="2:24">
      <c r="B127" s="7">
        <f>IF( Table2[[#This Row],[target_lang]] = "noted", 1, 0)</f>
        <v>1</v>
      </c>
      <c r="C127" s="7">
        <f xml:space="preserve"> IF( Table2[[#This Row],[target_lang]] = "notedoc", 1, 0)</f>
        <v>0</v>
      </c>
      <c r="D127" s="10" t="s">
        <v>43</v>
      </c>
      <c r="E127" s="10" t="str">
        <f>IF( Table2[[#This Row],[label]] = "", "", IF( Table2[[#This Row],[origin]] = "notedoc",  Table2[[#This Row],[origin]],  "noted"))</f>
        <v>noted</v>
      </c>
      <c r="F127" s="18" t="s">
        <v>75</v>
      </c>
      <c r="G127" s="19" t="s">
        <v>29</v>
      </c>
      <c r="H127" s="20" t="str">
        <f>Table2[[#This Row],[label]]</f>
        <v>TEMP</v>
      </c>
      <c r="I127" s="18" t="s">
        <v>56</v>
      </c>
      <c r="J127" s="21"/>
      <c r="K12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27" s="9" t="str">
        <f>"" &amp;  IF(Table2[[#This Row],[hasUnsafeRegex]] = 0, Table2[[#This Row],[regexTermInput]], "(?:" &amp; Table2[[#This Row],[regexTermInput]] &amp; ")")</f>
        <v>TEMP</v>
      </c>
      <c r="M127" s="11">
        <f>IF( IFERROR( FIND("$", Table2[[#This Row],[unsafeRegexGuess]]), 0) &lt;=0, 0, 1)</f>
        <v>0</v>
      </c>
      <c r="N127" s="11">
        <f>IF( IFERROR( FIND("$", Table2[[#This Row],[anyRegexGuess]]), 0) &lt;=0, 0, 1)</f>
        <v>0</v>
      </c>
      <c r="O127" s="13" t="str">
        <f>SUBSTITUTE( SUBSTITUTE( SUBSTITUTE(SUBSTITUTE(Table2[[#This Row],[unsafeRegexGuess]], ")", "$"), "*", "$"), "+", "$"), "?", "$")</f>
        <v>TEMP</v>
      </c>
      <c r="P127" s="13" t="str">
        <f xml:space="preserve"> SUBSTITUTE( SUBSTITUTE( SUBSTITUTE(Table2[[#This Row],[regexTermInput]], "(", "$"), "|", "$"), "^", "$")</f>
        <v>TEMP</v>
      </c>
      <c r="Q127"/>
      <c r="R127"/>
      <c r="S127"/>
      <c r="T127"/>
      <c r="U127"/>
      <c r="V127"/>
      <c r="X127"/>
    </row>
    <row r="128" spans="2:24">
      <c r="B128" s="7">
        <f>IF( Table2[[#This Row],[target_lang]] = "noted", 1, 0)</f>
        <v>1</v>
      </c>
      <c r="C128" s="7">
        <f xml:space="preserve"> IF( Table2[[#This Row],[target_lang]] = "notedoc", 1, 0)</f>
        <v>0</v>
      </c>
      <c r="D128" s="10" t="s">
        <v>43</v>
      </c>
      <c r="E128" s="10" t="str">
        <f>IF( Table2[[#This Row],[label]] = "", "", IF( Table2[[#This Row],[origin]] = "notedoc",  Table2[[#This Row],[origin]],  "noted"))</f>
        <v>noted</v>
      </c>
      <c r="F128" s="18" t="s">
        <v>75</v>
      </c>
      <c r="G128" s="19" t="s">
        <v>30</v>
      </c>
      <c r="H128" s="20" t="str">
        <f>Table2[[#This Row],[label]]</f>
        <v>XXX</v>
      </c>
      <c r="I128" s="18" t="s">
        <v>297</v>
      </c>
      <c r="J128" s="21"/>
      <c r="K12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28" s="9" t="str">
        <f>"" &amp;  IF(Table2[[#This Row],[hasUnsafeRegex]] = 0, Table2[[#This Row],[regexTermInput]], "(?:" &amp; Table2[[#This Row],[regexTermInput]] &amp; ")")</f>
        <v>XXX</v>
      </c>
      <c r="M128" s="11">
        <f>IF( IFERROR( FIND("$", Table2[[#This Row],[unsafeRegexGuess]]), 0) &lt;=0, 0, 1)</f>
        <v>0</v>
      </c>
      <c r="N128" s="11">
        <f>IF( IFERROR( FIND("$", Table2[[#This Row],[anyRegexGuess]]), 0) &lt;=0, 0, 1)</f>
        <v>0</v>
      </c>
      <c r="O128" s="13" t="str">
        <f>SUBSTITUTE( SUBSTITUTE( SUBSTITUTE(SUBSTITUTE(Table2[[#This Row],[unsafeRegexGuess]], ")", "$"), "*", "$"), "+", "$"), "?", "$")</f>
        <v>XXX</v>
      </c>
      <c r="P128" s="13" t="str">
        <f xml:space="preserve"> SUBSTITUTE( SUBSTITUTE( SUBSTITUTE(Table2[[#This Row],[regexTermInput]], "(", "$"), "|", "$"), "^", "$")</f>
        <v>XXX</v>
      </c>
      <c r="Q128"/>
      <c r="R128"/>
      <c r="S128"/>
      <c r="T128"/>
      <c r="U128"/>
      <c r="V128"/>
      <c r="X128"/>
    </row>
    <row r="129" spans="2:24">
      <c r="B129" s="7">
        <f>IF( Table2[[#This Row],[target_lang]] = "noted", 1, 0)</f>
        <v>1</v>
      </c>
      <c r="C129" s="7">
        <f xml:space="preserve"> IF( Table2[[#This Row],[target_lang]] = "notedoc", 1, 0)</f>
        <v>0</v>
      </c>
      <c r="D129" s="10" t="s">
        <v>48</v>
      </c>
      <c r="E129" s="10" t="str">
        <f>IF( Table2[[#This Row],[label]] = "", "", IF( Table2[[#This Row],[origin]] = "notedoc",  Table2[[#This Row],[origin]],  "noted"))</f>
        <v>noted</v>
      </c>
      <c r="F129" s="18" t="s">
        <v>75</v>
      </c>
      <c r="G129" s="19" t="s">
        <v>35</v>
      </c>
      <c r="H129" s="20" t="str">
        <f>Table2[[#This Row],[label]]</f>
        <v>ERR</v>
      </c>
      <c r="I129" s="18" t="s">
        <v>65</v>
      </c>
      <c r="J129" s="21"/>
      <c r="K12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storage.type.class.${1:/downcase}._noted-shout._level-{{level}}._feeling-bad.text.noted</v>
      </c>
      <c r="L129" s="9" t="str">
        <f>"" &amp;  IF(Table2[[#This Row],[hasUnsafeRegex]] = 0, Table2[[#This Row],[regexTermInput]], "(?:" &amp; Table2[[#This Row],[regexTermInput]] &amp; ")")</f>
        <v>ERR</v>
      </c>
      <c r="M129" s="11">
        <f>IF( IFERROR( FIND("$", Table2[[#This Row],[unsafeRegexGuess]]), 0) &lt;=0, 0, 1)</f>
        <v>0</v>
      </c>
      <c r="N129" s="11">
        <f>IF( IFERROR( FIND("$", Table2[[#This Row],[anyRegexGuess]]), 0) &lt;=0, 0, 1)</f>
        <v>0</v>
      </c>
      <c r="O129" s="13" t="str">
        <f>SUBSTITUTE( SUBSTITUTE( SUBSTITUTE(SUBSTITUTE(Table2[[#This Row],[unsafeRegexGuess]], ")", "$"), "*", "$"), "+", "$"), "?", "$")</f>
        <v>ERR</v>
      </c>
      <c r="P129" s="13" t="str">
        <f xml:space="preserve"> SUBSTITUTE( SUBSTITUTE( SUBSTITUTE(Table2[[#This Row],[regexTermInput]], "(", "$"), "|", "$"), "^", "$")</f>
        <v>ERR</v>
      </c>
      <c r="Q129"/>
      <c r="R129"/>
      <c r="S129"/>
      <c r="T129"/>
      <c r="U129"/>
      <c r="V129"/>
      <c r="X129"/>
    </row>
    <row r="130" spans="2:24">
      <c r="B130" s="7">
        <f>IF( Table2[[#This Row],[target_lang]] = "noted", 1, 0)</f>
        <v>1</v>
      </c>
      <c r="C130" s="7">
        <f xml:space="preserve"> IF( Table2[[#This Row],[target_lang]] = "notedoc", 1, 0)</f>
        <v>0</v>
      </c>
      <c r="D130" s="10" t="s">
        <v>43</v>
      </c>
      <c r="E130" s="10" t="str">
        <f>IF( Table2[[#This Row],[label]] = "", "", IF( Table2[[#This Row],[origin]] = "notedoc",  Table2[[#This Row],[origin]],  "noted"))</f>
        <v>noted</v>
      </c>
      <c r="F130" s="18" t="s">
        <v>75</v>
      </c>
      <c r="G130" s="19" t="s">
        <v>26</v>
      </c>
      <c r="H130" s="20" t="str">
        <f>Table2[[#This Row],[label]]</f>
        <v>HACK</v>
      </c>
      <c r="I130" s="18" t="s">
        <v>297</v>
      </c>
      <c r="J130" s="21"/>
      <c r="K13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30" s="9" t="str">
        <f>"" &amp;  IF(Table2[[#This Row],[hasUnsafeRegex]] = 0, Table2[[#This Row],[regexTermInput]], "(?:" &amp; Table2[[#This Row],[regexTermInput]] &amp; ")")</f>
        <v>HACK</v>
      </c>
      <c r="M130" s="11">
        <f>IF( IFERROR( FIND("$", Table2[[#This Row],[unsafeRegexGuess]]), 0) &lt;=0, 0, 1)</f>
        <v>0</v>
      </c>
      <c r="N130" s="11">
        <f>IF( IFERROR( FIND("$", Table2[[#This Row],[anyRegexGuess]]), 0) &lt;=0, 0, 1)</f>
        <v>0</v>
      </c>
      <c r="O130" s="13" t="str">
        <f>SUBSTITUTE( SUBSTITUTE( SUBSTITUTE(SUBSTITUTE(Table2[[#This Row],[unsafeRegexGuess]], ")", "$"), "*", "$"), "+", "$"), "?", "$")</f>
        <v>HACK</v>
      </c>
      <c r="P130" s="13" t="str">
        <f xml:space="preserve"> SUBSTITUTE( SUBSTITUTE( SUBSTITUTE(Table2[[#This Row],[regexTermInput]], "(", "$"), "|", "$"), "^", "$")</f>
        <v>HACK</v>
      </c>
      <c r="Q130"/>
      <c r="R130"/>
      <c r="S130"/>
      <c r="T130"/>
      <c r="U130"/>
      <c r="V130"/>
      <c r="X130"/>
    </row>
    <row r="131" spans="2:24">
      <c r="B131" s="7">
        <f>IF( Table2[[#This Row],[target_lang]] = "noted", 1, 0)</f>
        <v>1</v>
      </c>
      <c r="C131" s="7">
        <f xml:space="preserve"> IF( Table2[[#This Row],[target_lang]] = "notedoc", 1, 0)</f>
        <v>0</v>
      </c>
      <c r="D131" s="16" t="s">
        <v>43</v>
      </c>
      <c r="E131" s="10" t="str">
        <f>IF( Table2[[#This Row],[label]] = "", "", IF( Table2[[#This Row],[origin]] = "notedoc",  Table2[[#This Row],[origin]],  "noted"))</f>
        <v>noted</v>
      </c>
      <c r="F131" s="18" t="s">
        <v>75</v>
      </c>
      <c r="G131" s="19" t="s">
        <v>28</v>
      </c>
      <c r="H131" s="20" t="str">
        <f>Table2[[#This Row],[label]]</f>
        <v>WARNING</v>
      </c>
      <c r="I131" s="18" t="s">
        <v>297</v>
      </c>
      <c r="J131" s="21"/>
      <c r="K13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storage.type.class.${1:/downcase}._noted-shout._level-{{level}}._feeling-fishy.text.noted</v>
      </c>
      <c r="L131" s="9" t="str">
        <f>"" &amp;  IF(Table2[[#This Row],[hasUnsafeRegex]] = 0, Table2[[#This Row],[regexTermInput]], "(?:" &amp; Table2[[#This Row],[regexTermInput]] &amp; ")")</f>
        <v>WARNING</v>
      </c>
      <c r="M131" s="11">
        <f>IF( IFERROR( FIND("$", Table2[[#This Row],[unsafeRegexGuess]]), 0) &lt;=0, 0, 1)</f>
        <v>0</v>
      </c>
      <c r="N131" s="11">
        <f>IF( IFERROR( FIND("$", Table2[[#This Row],[anyRegexGuess]]), 0) &lt;=0, 0, 1)</f>
        <v>0</v>
      </c>
      <c r="O131" s="13" t="str">
        <f>SUBSTITUTE( SUBSTITUTE( SUBSTITUTE(SUBSTITUTE(Table2[[#This Row],[unsafeRegexGuess]], ")", "$"), "*", "$"), "+", "$"), "?", "$")</f>
        <v>WARNING</v>
      </c>
      <c r="P131" s="13" t="str">
        <f xml:space="preserve"> SUBSTITUTE( SUBSTITUTE( SUBSTITUTE(Table2[[#This Row],[regexTermInput]], "(", "$"), "|", "$"), "^", "$")</f>
        <v>WARNING</v>
      </c>
      <c r="Q131"/>
      <c r="R131"/>
      <c r="S131"/>
      <c r="T131"/>
      <c r="U131"/>
      <c r="V131"/>
      <c r="X131"/>
    </row>
    <row r="132" spans="2:24">
      <c r="B132" s="7">
        <f>IF( Table2[[#This Row],[target_lang]] = "noted", 1, 0)</f>
        <v>1</v>
      </c>
      <c r="C132" s="7">
        <f xml:space="preserve"> IF( Table2[[#This Row],[target_lang]] = "notedoc", 1, 0)</f>
        <v>0</v>
      </c>
      <c r="D132" s="10" t="s">
        <v>48</v>
      </c>
      <c r="E132" s="10" t="str">
        <f>IF( Table2[[#This Row],[label]] = "", "", IF( Table2[[#This Row],[origin]] = "notedoc",  Table2[[#This Row],[origin]],  "noted"))</f>
        <v>noted</v>
      </c>
      <c r="F132" s="18" t="s">
        <v>75</v>
      </c>
      <c r="G132" s="19" t="s">
        <v>15</v>
      </c>
      <c r="H132" s="20" t="str">
        <f>Table2[[#This Row],[label]]</f>
        <v>CHGME</v>
      </c>
      <c r="I132" s="18" t="s">
        <v>56</v>
      </c>
      <c r="J132" s="21"/>
      <c r="K13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storage.type.class.${1:/downcase}._noted-shout._level-{{level}}._feeling-alert.text.noted</v>
      </c>
      <c r="L132" s="9" t="str">
        <f>"" &amp;  IF(Table2[[#This Row],[hasUnsafeRegex]] = 0, Table2[[#This Row],[regexTermInput]], "(?:" &amp; Table2[[#This Row],[regexTermInput]] &amp; ")")</f>
        <v>CHGME</v>
      </c>
      <c r="M132" s="11">
        <f>IF( IFERROR( FIND("$", Table2[[#This Row],[unsafeRegexGuess]]), 0) &lt;=0, 0, 1)</f>
        <v>0</v>
      </c>
      <c r="N132" s="11">
        <f>IF( IFERROR( FIND("$", Table2[[#This Row],[anyRegexGuess]]), 0) &lt;=0, 0, 1)</f>
        <v>0</v>
      </c>
      <c r="O132" s="13" t="str">
        <f>SUBSTITUTE( SUBSTITUTE( SUBSTITUTE(SUBSTITUTE(Table2[[#This Row],[unsafeRegexGuess]], ")", "$"), "*", "$"), "+", "$"), "?", "$")</f>
        <v>CHGME</v>
      </c>
      <c r="P132" s="13" t="str">
        <f xml:space="preserve"> SUBSTITUTE( SUBSTITUTE( SUBSTITUTE(Table2[[#This Row],[regexTermInput]], "(", "$"), "|", "$"), "^", "$")</f>
        <v>CHGME</v>
      </c>
      <c r="Q132"/>
      <c r="R132"/>
      <c r="S132"/>
      <c r="T132"/>
      <c r="U132"/>
      <c r="V132"/>
      <c r="X132"/>
    </row>
    <row r="133" spans="2:24">
      <c r="B133" s="7">
        <f>IF( Table2[[#This Row],[target_lang]] = "noted", 1, 0)</f>
        <v>0</v>
      </c>
      <c r="C133" s="7">
        <f xml:space="preserve"> IF( Table2[[#This Row],[target_lang]] = "notedoc", 1, 0)</f>
        <v>0</v>
      </c>
      <c r="D133" s="10"/>
      <c r="E133" s="10" t="str">
        <f>IF( Table2[[#This Row],[label]] = "", "", IF( Table2[[#This Row],[origin]] = "notedoc",  Table2[[#This Row],[origin]],  "noted"))</f>
        <v/>
      </c>
      <c r="F133" s="18" t="s">
        <v>50</v>
      </c>
      <c r="G133" s="19" t="s">
        <v>138</v>
      </c>
      <c r="H133" s="20" t="str">
        <f>Table2[[#This Row],[label]]</f>
        <v/>
      </c>
      <c r="I133" s="18" t="str">
        <f>""</f>
        <v/>
      </c>
      <c r="J133" s="21"/>
      <c r="K13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33" s="9" t="str">
        <f>"" &amp;  IF(Table2[[#This Row],[hasUnsafeRegex]] = 0, Table2[[#This Row],[regexTermInput]], "(?:" &amp; Table2[[#This Row],[regexTermInput]] &amp; ")")</f>
        <v/>
      </c>
      <c r="M133" s="11">
        <f>IF( IFERROR( FIND("$", Table2[[#This Row],[unsafeRegexGuess]]), 0) &lt;=0, 0, 1)</f>
        <v>0</v>
      </c>
      <c r="N133" s="11">
        <f>IF( IFERROR( FIND("$", Table2[[#This Row],[anyRegexGuess]]), 0) &lt;=0, 0, 1)</f>
        <v>0</v>
      </c>
      <c r="O133" s="13" t="str">
        <f>SUBSTITUTE( SUBSTITUTE( SUBSTITUTE(SUBSTITUTE(Table2[[#This Row],[unsafeRegexGuess]], ")", "$"), "*", "$"), "+", "$"), "?", "$")</f>
        <v/>
      </c>
      <c r="P133" s="13" t="str">
        <f xml:space="preserve"> SUBSTITUTE( SUBSTITUTE( SUBSTITUTE(Table2[[#This Row],[regexTermInput]], "(", "$"), "|", "$"), "^", "$")</f>
        <v/>
      </c>
      <c r="Q133"/>
      <c r="R133"/>
      <c r="S133"/>
      <c r="T133"/>
      <c r="U133"/>
      <c r="V133"/>
      <c r="X133"/>
    </row>
    <row r="134" spans="2:24">
      <c r="B134" s="7">
        <f>IF( Table2[[#This Row],[target_lang]] = "noted", 1, 0)</f>
        <v>1</v>
      </c>
      <c r="C134" s="7">
        <f xml:space="preserve"> IF( Table2[[#This Row],[target_lang]] = "notedoc", 1, 0)</f>
        <v>0</v>
      </c>
      <c r="D134" s="10" t="s">
        <v>48</v>
      </c>
      <c r="E134" s="10" t="str">
        <f>IF( Table2[[#This Row],[label]] = "", "", IF( Table2[[#This Row],[origin]] = "notedoc",  Table2[[#This Row],[origin]],  "noted"))</f>
        <v>noted</v>
      </c>
      <c r="F134" s="18" t="s">
        <v>50</v>
      </c>
      <c r="G134" s="19" t="s">
        <v>31</v>
      </c>
      <c r="H134" s="20" t="str">
        <f>Table2[[#This Row],[label]]</f>
        <v>DEPRECATED</v>
      </c>
      <c r="I134" s="18" t="s">
        <v>233</v>
      </c>
      <c r="J134" s="21"/>
      <c r="K13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storage.type.class.${1:/downcase}._noted-spook._level-{{level}}._feeling-spooky.text.noted</v>
      </c>
      <c r="L134" s="9" t="str">
        <f>"" &amp;  IF(Table2[[#This Row],[hasUnsafeRegex]] = 0, Table2[[#This Row],[regexTermInput]], "(?:" &amp; Table2[[#This Row],[regexTermInput]] &amp; ")")</f>
        <v>DEPRECATED</v>
      </c>
      <c r="M134" s="11">
        <f>IF( IFERROR( FIND("$", Table2[[#This Row],[unsafeRegexGuess]]), 0) &lt;=0, 0, 1)</f>
        <v>0</v>
      </c>
      <c r="N134" s="11">
        <f>IF( IFERROR( FIND("$", Table2[[#This Row],[anyRegexGuess]]), 0) &lt;=0, 0, 1)</f>
        <v>0</v>
      </c>
      <c r="O134" s="13" t="str">
        <f>SUBSTITUTE( SUBSTITUTE( SUBSTITUTE(SUBSTITUTE(Table2[[#This Row],[unsafeRegexGuess]], ")", "$"), "*", "$"), "+", "$"), "?", "$")</f>
        <v>DEPRECATED</v>
      </c>
      <c r="P134" s="13" t="str">
        <f xml:space="preserve"> SUBSTITUTE( SUBSTITUTE( SUBSTITUTE(Table2[[#This Row],[regexTermInput]], "(", "$"), "|", "$"), "^", "$")</f>
        <v>DEPRECATED</v>
      </c>
      <c r="Q134"/>
      <c r="R134"/>
      <c r="S134"/>
      <c r="T134"/>
      <c r="U134"/>
      <c r="V134"/>
      <c r="X134"/>
    </row>
    <row r="135" spans="2:24">
      <c r="B135" s="7">
        <f>IF( Table2[[#This Row],[target_lang]] = "noted", 1, 0)</f>
        <v>1</v>
      </c>
      <c r="C135" s="7">
        <f xml:space="preserve"> IF( Table2[[#This Row],[target_lang]] = "notedoc", 1, 0)</f>
        <v>0</v>
      </c>
      <c r="D135" s="10" t="s">
        <v>51</v>
      </c>
      <c r="E135" s="10" t="str">
        <f>IF( Table2[[#This Row],[label]] = "", "", IF( Table2[[#This Row],[origin]] = "notedoc",  Table2[[#This Row],[origin]],  "noted"))</f>
        <v>noted</v>
      </c>
      <c r="F135" s="18" t="s">
        <v>50</v>
      </c>
      <c r="G135" s="19" t="s">
        <v>59</v>
      </c>
      <c r="H135" s="20" t="str">
        <f>Table2[[#This Row],[label]]</f>
        <v>MAYBREAK</v>
      </c>
      <c r="I135" s="18" t="s">
        <v>233</v>
      </c>
      <c r="J135" s="21"/>
      <c r="K13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storage.type.class.${1:/downcase}._noted-spook._level-{{level}}._feeling-spooky.text.noted</v>
      </c>
      <c r="L135" s="9" t="str">
        <f>"" &amp;  IF(Table2[[#This Row],[hasUnsafeRegex]] = 0, Table2[[#This Row],[regexTermInput]], "(?:" &amp; Table2[[#This Row],[regexTermInput]] &amp; ")")</f>
        <v>MAYBREAK</v>
      </c>
      <c r="M135" s="11">
        <f>IF( IFERROR( FIND("$", Table2[[#This Row],[unsafeRegexGuess]]), 0) &lt;=0, 0, 1)</f>
        <v>0</v>
      </c>
      <c r="N135" s="11">
        <f>IF( IFERROR( FIND("$", Table2[[#This Row],[anyRegexGuess]]), 0) &lt;=0, 0, 1)</f>
        <v>0</v>
      </c>
      <c r="O135" s="13" t="str">
        <f>SUBSTITUTE( SUBSTITUTE( SUBSTITUTE(SUBSTITUTE(Table2[[#This Row],[unsafeRegexGuess]], ")", "$"), "*", "$"), "+", "$"), "?", "$")</f>
        <v>MAYBREAK</v>
      </c>
      <c r="P135" s="13" t="str">
        <f xml:space="preserve"> SUBSTITUTE( SUBSTITUTE( SUBSTITUTE(Table2[[#This Row],[regexTermInput]], "(", "$"), "|", "$"), "^", "$")</f>
        <v>MAYBREAK</v>
      </c>
      <c r="Q135"/>
      <c r="R135"/>
      <c r="S135"/>
      <c r="T135"/>
      <c r="U135"/>
      <c r="V135"/>
      <c r="X135"/>
    </row>
    <row r="136" spans="2:24">
      <c r="B136" s="7">
        <f>IF( Table2[[#This Row],[target_lang]] = "noted", 1, 0)</f>
        <v>0</v>
      </c>
      <c r="C136" s="7">
        <f xml:space="preserve"> IF( Table2[[#This Row],[target_lang]] = "notedoc", 1, 0)</f>
        <v>0</v>
      </c>
      <c r="D136" s="10" t="s">
        <v>51</v>
      </c>
      <c r="E136" s="10" t="str">
        <f>IF( Table2[[#This Row],[label]] = "", "", IF( Table2[[#This Row],[origin]] = "notedoc",  Table2[[#This Row],[origin]],  "noted"))</f>
        <v/>
      </c>
      <c r="F136" s="18" t="s">
        <v>58</v>
      </c>
      <c r="G136" s="19" t="str">
        <f>""</f>
        <v/>
      </c>
      <c r="H136" s="20" t="str">
        <f>Table2[[#This Row],[label]]</f>
        <v/>
      </c>
      <c r="I136" s="18" t="str">
        <f>""</f>
        <v/>
      </c>
      <c r="J136" s="21" t="str">
        <f>""</f>
        <v/>
      </c>
      <c r="K136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36" s="9" t="str">
        <f>"" &amp;  IF(Table2[[#This Row],[hasUnsafeRegex]] = 0, Table2[[#This Row],[regexTermInput]], "(?:" &amp; Table2[[#This Row],[regexTermInput]] &amp; ")")</f>
        <v/>
      </c>
      <c r="M136" s="11">
        <f>IF( IFERROR( FIND("$", Table2[[#This Row],[unsafeRegexGuess]]), 0) &lt;=0, 0, 1)</f>
        <v>0</v>
      </c>
      <c r="N136" s="11">
        <f>IF( IFERROR( FIND("$", Table2[[#This Row],[anyRegexGuess]]), 0) &lt;=0, 0, 1)</f>
        <v>0</v>
      </c>
      <c r="O136" s="13" t="str">
        <f>SUBSTITUTE( SUBSTITUTE( SUBSTITUTE(SUBSTITUTE(Table2[[#This Row],[unsafeRegexGuess]], ")", "$"), "*", "$"), "+", "$"), "?", "$")</f>
        <v/>
      </c>
      <c r="P136" s="13" t="str">
        <f xml:space="preserve"> SUBSTITUTE( SUBSTITUTE( SUBSTITUTE(Table2[[#This Row],[regexTermInput]], "(", "$"), "|", "$"), "^", "$")</f>
        <v/>
      </c>
      <c r="Q136"/>
      <c r="R136"/>
      <c r="S136"/>
      <c r="T136"/>
      <c r="U136"/>
      <c r="V136"/>
      <c r="X136"/>
    </row>
    <row r="137" spans="2:24">
      <c r="B137" s="7">
        <f>IF( Table2[[#This Row],[target_lang]] = "noted", 1, 0)</f>
        <v>1</v>
      </c>
      <c r="C137" s="7">
        <f xml:space="preserve"> IF( Table2[[#This Row],[target_lang]] = "notedoc", 1, 0)</f>
        <v>0</v>
      </c>
      <c r="D137" s="10" t="s">
        <v>48</v>
      </c>
      <c r="E137" s="10" t="str">
        <f>IF( Table2[[#This Row],[label]] = "", "", IF( Table2[[#This Row],[origin]] = "notedoc",  Table2[[#This Row],[origin]],  "noted"))</f>
        <v>noted</v>
      </c>
      <c r="F137" s="18" t="s">
        <v>58</v>
      </c>
      <c r="G137" s="19" t="s">
        <v>17</v>
      </c>
      <c r="H137" s="20" t="str">
        <f>Table2[[#This Row],[label]]</f>
        <v>NOTREACHED</v>
      </c>
      <c r="I137" s="18" t="s">
        <v>297</v>
      </c>
      <c r="J137" s="21"/>
      <c r="K137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storage.type.class.${1:/downcase}._noted-status._level-{{level}}._feeling-fishy.text.noted</v>
      </c>
      <c r="L137" s="9" t="str">
        <f>"" &amp;  IF(Table2[[#This Row],[hasUnsafeRegex]] = 0, Table2[[#This Row],[regexTermInput]], "(?:" &amp; Table2[[#This Row],[regexTermInput]] &amp; ")")</f>
        <v>NOTREACHED</v>
      </c>
      <c r="M137" s="11">
        <f>IF( IFERROR( FIND("$", Table2[[#This Row],[unsafeRegexGuess]]), 0) &lt;=0, 0, 1)</f>
        <v>0</v>
      </c>
      <c r="N137" s="11">
        <f>IF( IFERROR( FIND("$", Table2[[#This Row],[anyRegexGuess]]), 0) &lt;=0, 0, 1)</f>
        <v>0</v>
      </c>
      <c r="O137" s="13" t="str">
        <f>SUBSTITUTE( SUBSTITUTE( SUBSTITUTE(SUBSTITUTE(Table2[[#This Row],[unsafeRegexGuess]], ")", "$"), "*", "$"), "+", "$"), "?", "$")</f>
        <v>NOTREACHED</v>
      </c>
      <c r="P137" s="13" t="str">
        <f xml:space="preserve"> SUBSTITUTE( SUBSTITUTE( SUBSTITUTE(Table2[[#This Row],[regexTermInput]], "(", "$"), "|", "$"), "^", "$")</f>
        <v>NOTREACHED</v>
      </c>
      <c r="Q137"/>
      <c r="R137"/>
      <c r="S137"/>
      <c r="T137"/>
      <c r="U137"/>
      <c r="V137"/>
      <c r="X137"/>
    </row>
    <row r="138" spans="2:24">
      <c r="B138" s="7">
        <f>IF( Table2[[#This Row],[target_lang]] = "noted", 1, 0)</f>
        <v>1</v>
      </c>
      <c r="C138" s="7">
        <f xml:space="preserve"> IF( Table2[[#This Row],[target_lang]] = "notedoc", 1, 0)</f>
        <v>0</v>
      </c>
      <c r="D138" s="10" t="s">
        <v>48</v>
      </c>
      <c r="E138" s="10" t="str">
        <f>IF( Table2[[#This Row],[label]] = "", "", IF( Table2[[#This Row],[origin]] = "notedoc",  Table2[[#This Row],[origin]],  "noted"))</f>
        <v>noted</v>
      </c>
      <c r="F138" s="18" t="s">
        <v>58</v>
      </c>
      <c r="G138" s="19" t="s">
        <v>14</v>
      </c>
      <c r="H138" s="20" t="str">
        <f>Table2[[#This Row],[label]]</f>
        <v>UNDONE</v>
      </c>
      <c r="I138" s="18" t="s">
        <v>302</v>
      </c>
      <c r="J138" s="21"/>
      <c r="K138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storage.type.class.${1:/downcase}._noted-status._level-{{level}}._feeling-eager.text.noted</v>
      </c>
      <c r="L138" s="9" t="str">
        <f>"" &amp;  IF(Table2[[#This Row],[hasUnsafeRegex]] = 0, Table2[[#This Row],[regexTermInput]], "(?:" &amp; Table2[[#This Row],[regexTermInput]] &amp; ")")</f>
        <v>UNDONE</v>
      </c>
      <c r="M138" s="11">
        <f>IF( IFERROR( FIND("$", Table2[[#This Row],[unsafeRegexGuess]]), 0) &lt;=0, 0, 1)</f>
        <v>0</v>
      </c>
      <c r="N138" s="11">
        <f>IF( IFERROR( FIND("$", Table2[[#This Row],[anyRegexGuess]]), 0) &lt;=0, 0, 1)</f>
        <v>0</v>
      </c>
      <c r="O138" s="13" t="str">
        <f>SUBSTITUTE( SUBSTITUTE( SUBSTITUTE(SUBSTITUTE(Table2[[#This Row],[unsafeRegexGuess]], ")", "$"), "*", "$"), "+", "$"), "?", "$")</f>
        <v>UNDONE</v>
      </c>
      <c r="P138" s="13" t="str">
        <f xml:space="preserve"> SUBSTITUTE( SUBSTITUTE( SUBSTITUTE(Table2[[#This Row],[regexTermInput]], "(", "$"), "|", "$"), "^", "$")</f>
        <v>UNDONE</v>
      </c>
      <c r="Q138"/>
      <c r="R138"/>
      <c r="S138"/>
      <c r="T138"/>
      <c r="U138"/>
      <c r="V138"/>
      <c r="X138"/>
    </row>
    <row r="139" spans="2:24">
      <c r="B139" s="7">
        <f>IF( Table2[[#This Row],[target_lang]] = "noted", 1, 0)</f>
        <v>1</v>
      </c>
      <c r="C139" s="7">
        <f xml:space="preserve"> IF( Table2[[#This Row],[target_lang]] = "notedoc", 1, 0)</f>
        <v>0</v>
      </c>
      <c r="D139" s="10" t="s">
        <v>51</v>
      </c>
      <c r="E139" s="10" t="str">
        <f>IF( Table2[[#This Row],[label]] = "", "", IF( Table2[[#This Row],[origin]] = "notedoc",  Table2[[#This Row],[origin]],  "noted"))</f>
        <v>noted</v>
      </c>
      <c r="F139" s="18" t="s">
        <v>58</v>
      </c>
      <c r="G139" s="19" t="s">
        <v>61</v>
      </c>
      <c r="H139" s="20" t="str">
        <f>Table2[[#This Row],[label]]</f>
        <v>DONE</v>
      </c>
      <c r="I139" s="18" t="s">
        <v>234</v>
      </c>
      <c r="J139" s="21"/>
      <c r="K139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39" s="9" t="str">
        <f>"" &amp;  IF(Table2[[#This Row],[hasUnsafeRegex]] = 0, Table2[[#This Row],[regexTermInput]], "(?:" &amp; Table2[[#This Row],[regexTermInput]] &amp; ")")</f>
        <v>DONE</v>
      </c>
      <c r="M139" s="11">
        <f>IF( IFERROR( FIND("$", Table2[[#This Row],[unsafeRegexGuess]]), 0) &lt;=0, 0, 1)</f>
        <v>0</v>
      </c>
      <c r="N139" s="11">
        <f>IF( IFERROR( FIND("$", Table2[[#This Row],[anyRegexGuess]]), 0) &lt;=0, 0, 1)</f>
        <v>0</v>
      </c>
      <c r="O139" s="13" t="str">
        <f>SUBSTITUTE( SUBSTITUTE( SUBSTITUTE(SUBSTITUTE(Table2[[#This Row],[unsafeRegexGuess]], ")", "$"), "*", "$"), "+", "$"), "?", "$")</f>
        <v>DONE</v>
      </c>
      <c r="P139" s="13" t="str">
        <f xml:space="preserve"> SUBSTITUTE( SUBSTITUTE( SUBSTITUTE(Table2[[#This Row],[regexTermInput]], "(", "$"), "|", "$"), "^", "$")</f>
        <v>DONE</v>
      </c>
      <c r="Q139"/>
      <c r="R139"/>
      <c r="S139"/>
      <c r="T139"/>
      <c r="U139"/>
      <c r="V139"/>
      <c r="X139"/>
    </row>
    <row r="140" spans="2:24">
      <c r="B140" s="7">
        <f>IF( Table2[[#This Row],[target_lang]] = "noted", 1, 0)</f>
        <v>1</v>
      </c>
      <c r="C140" s="7">
        <f xml:space="preserve"> IF( Table2[[#This Row],[target_lang]] = "notedoc", 1, 0)</f>
        <v>0</v>
      </c>
      <c r="D140" s="10" t="s">
        <v>51</v>
      </c>
      <c r="E140" s="10" t="str">
        <f>IF( Table2[[#This Row],[label]] = "", "", IF( Table2[[#This Row],[origin]] = "notedoc",  Table2[[#This Row],[origin]],  "noted"))</f>
        <v>noted</v>
      </c>
      <c r="F140" s="18" t="s">
        <v>58</v>
      </c>
      <c r="G140" s="19" t="s">
        <v>12</v>
      </c>
      <c r="H140" s="20" t="str">
        <f>Table2[[#This Row],[label]]</f>
        <v>FIXED</v>
      </c>
      <c r="I140" s="18" t="s">
        <v>234</v>
      </c>
      <c r="J140" s="21"/>
      <c r="K140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40" s="9" t="str">
        <f>"" &amp;  IF(Table2[[#This Row],[hasUnsafeRegex]] = 0, Table2[[#This Row],[regexTermInput]], "(?:" &amp; Table2[[#This Row],[regexTermInput]] &amp; ")")</f>
        <v>FIXED</v>
      </c>
      <c r="M140" s="11">
        <f>IF( IFERROR( FIND("$", Table2[[#This Row],[unsafeRegexGuess]]), 0) &lt;=0, 0, 1)</f>
        <v>0</v>
      </c>
      <c r="N140" s="11">
        <f>IF( IFERROR( FIND("$", Table2[[#This Row],[anyRegexGuess]]), 0) &lt;=0, 0, 1)</f>
        <v>0</v>
      </c>
      <c r="O140" s="13" t="str">
        <f>SUBSTITUTE( SUBSTITUTE( SUBSTITUTE(SUBSTITUTE(Table2[[#This Row],[unsafeRegexGuess]], ")", "$"), "*", "$"), "+", "$"), "?", "$")</f>
        <v>FIXED</v>
      </c>
      <c r="P140" s="13" t="str">
        <f xml:space="preserve"> SUBSTITUTE( SUBSTITUTE( SUBSTITUTE(Table2[[#This Row],[regexTermInput]], "(", "$"), "|", "$"), "^", "$")</f>
        <v>FIXED</v>
      </c>
      <c r="Q140"/>
      <c r="R140"/>
      <c r="S140"/>
      <c r="T140"/>
      <c r="U140"/>
      <c r="V140"/>
      <c r="X140"/>
    </row>
    <row r="141" spans="2:24">
      <c r="B141" s="7">
        <f>IF( Table2[[#This Row],[target_lang]] = "noted", 1, 0)</f>
        <v>1</v>
      </c>
      <c r="C141" s="7">
        <f xml:space="preserve"> IF( Table2[[#This Row],[target_lang]] = "notedoc", 1, 0)</f>
        <v>0</v>
      </c>
      <c r="D141" s="10" t="s">
        <v>51</v>
      </c>
      <c r="E141" s="10" t="str">
        <f>IF( Table2[[#This Row],[label]] = "", "", IF( Table2[[#This Row],[origin]] = "notedoc",  Table2[[#This Row],[origin]],  "noted"))</f>
        <v>noted</v>
      </c>
      <c r="F141" s="18" t="s">
        <v>58</v>
      </c>
      <c r="G141" s="19" t="s">
        <v>13</v>
      </c>
      <c r="H141" s="20" t="str">
        <f>Table2[[#This Row],[label]]</f>
        <v>OPTIMIZED</v>
      </c>
      <c r="I141" s="18" t="s">
        <v>234</v>
      </c>
      <c r="J141" s="21"/>
      <c r="K141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storage.type.class.${1:/downcase}._noted-status._level-{{level}}._feeling-good.text.noted</v>
      </c>
      <c r="L141" s="9" t="str">
        <f>"" &amp;  IF(Table2[[#This Row],[hasUnsafeRegex]] = 0, Table2[[#This Row],[regexTermInput]], "(?:" &amp; Table2[[#This Row],[regexTermInput]] &amp; ")")</f>
        <v>OPTIMIZED</v>
      </c>
      <c r="M141" s="11">
        <f>IF( IFERROR( FIND("$", Table2[[#This Row],[unsafeRegexGuess]]), 0) &lt;=0, 0, 1)</f>
        <v>0</v>
      </c>
      <c r="N141" s="11">
        <f>IF( IFERROR( FIND("$", Table2[[#This Row],[anyRegexGuess]]), 0) &lt;=0, 0, 1)</f>
        <v>0</v>
      </c>
      <c r="O141" s="13" t="str">
        <f>SUBSTITUTE( SUBSTITUTE( SUBSTITUTE(SUBSTITUTE(Table2[[#This Row],[unsafeRegexGuess]], ")", "$"), "*", "$"), "+", "$"), "?", "$")</f>
        <v>OPTIMIZED</v>
      </c>
      <c r="P141" s="13" t="str">
        <f xml:space="preserve"> SUBSTITUTE( SUBSTITUTE( SUBSTITUTE(Table2[[#This Row],[regexTermInput]], "(", "$"), "|", "$"), "^", "$")</f>
        <v>OPTIMIZED</v>
      </c>
      <c r="Q141"/>
      <c r="R141"/>
      <c r="S141"/>
      <c r="T141"/>
      <c r="U141"/>
      <c r="V141"/>
      <c r="X141"/>
    </row>
    <row r="142" spans="2:24">
      <c r="B142" s="7">
        <f>IF( Table2[[#This Row],[target_lang]] = "noted", 1, 0)</f>
        <v>1</v>
      </c>
      <c r="C142" s="7">
        <f xml:space="preserve"> IF( Table2[[#This Row],[target_lang]] = "notedoc", 1, 0)</f>
        <v>0</v>
      </c>
      <c r="D142" s="10" t="s">
        <v>43</v>
      </c>
      <c r="E142" s="10" t="str">
        <f>IF( Table2[[#This Row],[label]] = "", "", IF( Table2[[#This Row],[origin]] = "notedoc",  Table2[[#This Row],[origin]],  "noted"))</f>
        <v>noted</v>
      </c>
      <c r="F142" s="18" t="s">
        <v>58</v>
      </c>
      <c r="G142" s="19" t="s">
        <v>11</v>
      </c>
      <c r="H142" s="20" t="str">
        <f>Table2[[#This Row],[label]]</f>
        <v>CHANGED</v>
      </c>
      <c r="I142" s="18" t="s">
        <v>304</v>
      </c>
      <c r="J142" s="21"/>
      <c r="K142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storage.type.class.${1:/downcase}._noted-status._level-{{level}}._feeling-bland.text.noted</v>
      </c>
      <c r="L142" s="9" t="str">
        <f>"" &amp;  IF(Table2[[#This Row],[hasUnsafeRegex]] = 0, Table2[[#This Row],[regexTermInput]], "(?:" &amp; Table2[[#This Row],[regexTermInput]] &amp; ")")</f>
        <v>CHANGED</v>
      </c>
      <c r="M142" s="11">
        <f>IF( IFERROR( FIND("$", Table2[[#This Row],[unsafeRegexGuess]]), 0) &lt;=0, 0, 1)</f>
        <v>0</v>
      </c>
      <c r="N142" s="11">
        <f>IF( IFERROR( FIND("$", Table2[[#This Row],[anyRegexGuess]]), 0) &lt;=0, 0, 1)</f>
        <v>0</v>
      </c>
      <c r="O142" s="13" t="str">
        <f>SUBSTITUTE( SUBSTITUTE( SUBSTITUTE(SUBSTITUTE(Table2[[#This Row],[unsafeRegexGuess]], ")", "$"), "*", "$"), "+", "$"), "?", "$")</f>
        <v>CHANGED</v>
      </c>
      <c r="P142" s="13" t="str">
        <f xml:space="preserve"> SUBSTITUTE( SUBSTITUTE( SUBSTITUTE(Table2[[#This Row],[regexTermInput]], "(", "$"), "|", "$"), "^", "$")</f>
        <v>CHANGED</v>
      </c>
      <c r="Q142"/>
      <c r="R142"/>
      <c r="S142"/>
      <c r="T142"/>
      <c r="U142"/>
      <c r="V142"/>
      <c r="X142"/>
    </row>
    <row r="143" spans="2:24">
      <c r="B143" s="7">
        <f>IF( Table2[[#This Row],[target_lang]] = "noted", 1, 0)</f>
        <v>1</v>
      </c>
      <c r="C143" s="7">
        <f xml:space="preserve"> IF( Table2[[#This Row],[target_lang]] = "notedoc", 1, 0)</f>
        <v>0</v>
      </c>
      <c r="D143" s="10" t="s">
        <v>51</v>
      </c>
      <c r="E143" s="10" t="str">
        <f>IF( Table2[[#This Row],[label]] = "", "", IF( Table2[[#This Row],[origin]] = "notedoc",  Table2[[#This Row],[origin]],  "noted"))</f>
        <v>noted</v>
      </c>
      <c r="F143" s="18" t="s">
        <v>58</v>
      </c>
      <c r="G143" s="19" t="s">
        <v>64</v>
      </c>
      <c r="H143" s="20" t="str">
        <f>Table2[[#This Row],[label]]</f>
        <v>TESTED</v>
      </c>
      <c r="I143" s="18" t="s">
        <v>304</v>
      </c>
      <c r="J143" s="21"/>
      <c r="K143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>storage.type.class.${1:/downcase}._noted-status._level-{{level}}._feeling-bland.text.noted</v>
      </c>
      <c r="L143" s="9" t="str">
        <f>"" &amp;  IF(Table2[[#This Row],[hasUnsafeRegex]] = 0, Table2[[#This Row],[regexTermInput]], "(?:" &amp; Table2[[#This Row],[regexTermInput]] &amp; ")")</f>
        <v>TESTED</v>
      </c>
      <c r="M143" s="11">
        <f>IF( IFERROR( FIND("$", Table2[[#This Row],[unsafeRegexGuess]]), 0) &lt;=0, 0, 1)</f>
        <v>0</v>
      </c>
      <c r="N143" s="11">
        <f>IF( IFERROR( FIND("$", Table2[[#This Row],[anyRegexGuess]]), 0) &lt;=0, 0, 1)</f>
        <v>0</v>
      </c>
      <c r="O143" s="13" t="str">
        <f>SUBSTITUTE( SUBSTITUTE( SUBSTITUTE(SUBSTITUTE(Table2[[#This Row],[unsafeRegexGuess]], ")", "$"), "*", "$"), "+", "$"), "?", "$")</f>
        <v>TESTED</v>
      </c>
      <c r="P143" s="13" t="str">
        <f xml:space="preserve"> SUBSTITUTE( SUBSTITUTE( SUBSTITUTE(Table2[[#This Row],[regexTermInput]], "(", "$"), "|", "$"), "^", "$")</f>
        <v>TESTED</v>
      </c>
      <c r="Q143"/>
      <c r="R143"/>
      <c r="S143"/>
      <c r="T143"/>
      <c r="U143"/>
      <c r="V143"/>
      <c r="X143"/>
    </row>
    <row r="144" spans="2:24">
      <c r="B144" s="25"/>
      <c r="C144" s="25"/>
      <c r="D144" s="10"/>
      <c r="E144" s="10"/>
      <c r="F144" s="18"/>
      <c r="G144" s="19"/>
      <c r="H144" s="20"/>
      <c r="I144" s="18"/>
      <c r="J144" s="26"/>
      <c r="K144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44" s="27" t="str">
        <f>"" &amp;  IF(Table2[[#This Row],[hasUnsafeRegex]] = 0, Table2[[#This Row],[regexTermInput]], "(?:" &amp; Table2[[#This Row],[regexTermInput]] &amp; ")")</f>
        <v/>
      </c>
      <c r="M144" s="28"/>
      <c r="N144" s="28"/>
      <c r="O144" s="29"/>
      <c r="P144" s="29"/>
      <c r="Q144"/>
      <c r="S144"/>
      <c r="T144"/>
      <c r="U144"/>
      <c r="V144"/>
      <c r="X144"/>
    </row>
    <row r="145" spans="2:24">
      <c r="B145" s="25"/>
      <c r="C145" s="25"/>
      <c r="D145" s="10"/>
      <c r="E145" s="10"/>
      <c r="F145" s="18"/>
      <c r="G145" s="19"/>
      <c r="H145" s="20"/>
      <c r="I145" s="18"/>
      <c r="J145" s="26"/>
      <c r="K145" s="31" t="str">
        <f>IF( Table2[[#This Row],[regexTermInput]] ="", "", SUBSTITUTE(  SUBSTITUTE( SUBSTITUTE( atom_grammatic_name_template,"{{category}}", Table2[[#This Row],[category]] ), "{{emotion}}",  Table2[[#This Row],[spirit]] ), "{{lang}}",   Table2[[#This Row],[target_lang]] ))</f>
        <v/>
      </c>
      <c r="L145" s="27" t="str">
        <f>"" &amp;  IF(Table2[[#This Row],[hasUnsafeRegex]] = 0, Table2[[#This Row],[regexTermInput]], "(?:" &amp; Table2[[#This Row],[regexTermInput]] &amp; ")")</f>
        <v/>
      </c>
      <c r="M145" s="28"/>
      <c r="N145" s="28"/>
      <c r="O145" s="29"/>
      <c r="P145" s="29"/>
      <c r="Q145"/>
      <c r="S145"/>
      <c r="T145"/>
      <c r="U145"/>
      <c r="V145"/>
      <c r="X145"/>
    </row>
  </sheetData>
  <sheetProtection formatCells="0" formatColumns="0" formatRows="0" insertColumns="0" insertRows="0" insertHyperlinks="0" deleteColumns="0" deleteRows="0" sort="0" autoFilter="0" pivotTables="0"/>
  <conditionalFormatting sqref="O146:O1048576 H146:H1048576 B1:E145 I1:I145">
    <cfRule type="containsText" dxfId="35" priority="22" operator="containsText" text="extra">
      <formula>NOT(ISERROR(SEARCH("extra",B1)))</formula>
    </cfRule>
  </conditionalFormatting>
  <conditionalFormatting sqref="O146:O1048576 I1:I145">
    <cfRule type="containsText" dxfId="34" priority="24" operator="containsText" text="bad">
      <formula>NOT(ISERROR(SEARCH("bad",I1)))</formula>
    </cfRule>
    <cfRule type="containsText" dxfId="33" priority="661" operator="containsText" text="good">
      <formula>NOT(ISERROR(SEARCH("good",I1)))</formula>
    </cfRule>
  </conditionalFormatting>
  <conditionalFormatting sqref="I146:I1048576 K146:L1048576 B1:E145">
    <cfRule type="containsText" dxfId="32" priority="20" operator="containsText" text="noted">
      <formula>NOT(ISERROR(SEARCH("noted",B1)))</formula>
    </cfRule>
    <cfRule type="containsText" dxfId="31" priority="23" operator="containsText" text="todo">
      <formula>NOT(ISERROR(SEARCH("todo",B1)))</formula>
    </cfRule>
  </conditionalFormatting>
  <conditionalFormatting sqref="O146:O1048576">
    <cfRule type="expression" dxfId="30" priority="14" stopIfTrue="1">
      <formula>$L147 &gt; 0</formula>
    </cfRule>
    <cfRule type="expression" dxfId="29" priority="17">
      <formula>$M147 &gt; 0</formula>
    </cfRule>
  </conditionalFormatting>
  <conditionalFormatting sqref="B1:B1048576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C1:C1048576">
    <cfRule type="iconSet" priority="13">
      <iconSet iconSet="3Flags">
        <cfvo type="percent" val="0"/>
        <cfvo type="percent" val="33"/>
        <cfvo type="percent" val="67"/>
      </iconSet>
    </cfRule>
  </conditionalFormatting>
  <conditionalFormatting sqref="M1:M145 P146:P1048576">
    <cfRule type="iconSet" priority="6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N1:N145 T146:T1048576">
    <cfRule type="iconSet" priority="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M146:M1048576 I1:I145">
    <cfRule type="beginsWith" dxfId="28" priority="19" stopIfTrue="1" operator="beginsWith" text="ok">
      <formula>LEFT(I1,LEN("ok"))="ok"</formula>
    </cfRule>
  </conditionalFormatting>
  <conditionalFormatting sqref="B105:E116 B117:F145 G105:P145 B1:P104">
    <cfRule type="expression" dxfId="27" priority="1" stopIfTrue="1">
      <formula>$L1=""</formula>
    </cfRule>
  </conditionalFormatting>
  <conditionalFormatting sqref="I1:I145">
    <cfRule type="containsText" dxfId="26" priority="3" stopIfTrue="1" operator="containsText" text="alert">
      <formula>NOT(ISERROR(SEARCH("alert",I1)))</formula>
    </cfRule>
    <cfRule type="containsText" dxfId="25" priority="4" stopIfTrue="1" operator="containsText" text="spooky">
      <formula>NOT(ISERROR(SEARCH("spooky",I1)))</formula>
    </cfRule>
  </conditionalFormatting>
  <conditionalFormatting sqref="F105:F116">
    <cfRule type="expression" dxfId="24" priority="669" stopIfTrue="1">
      <formula>$L106=""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9A62F-25E6-F84A-96E6-690BAE0E4A9A}">
  <sheetPr codeName="Sheet2"/>
  <dimension ref="B2:J19"/>
  <sheetViews>
    <sheetView workbookViewId="0">
      <selection activeCell="G16" sqref="G16"/>
    </sheetView>
  </sheetViews>
  <sheetFormatPr baseColWidth="10" defaultRowHeight="17"/>
  <cols>
    <col min="1" max="2" width="10.7109375" style="30"/>
    <col min="3" max="3" width="13.7109375" style="30" customWidth="1"/>
    <col min="4" max="4" width="17.7109375" style="30" customWidth="1"/>
    <col min="5" max="5" width="68.42578125" style="30" customWidth="1"/>
    <col min="6" max="6" width="15.28515625" style="30" customWidth="1"/>
    <col min="7" max="8" width="36.5703125" style="30" customWidth="1"/>
    <col min="9" max="9" width="20.85546875" style="30" customWidth="1"/>
    <col min="10" max="16384" width="10.7109375" style="30"/>
  </cols>
  <sheetData>
    <row r="2" spans="2:10">
      <c r="F2" s="30" t="s">
        <v>219</v>
      </c>
      <c r="G2" s="30" t="s">
        <v>220</v>
      </c>
    </row>
    <row r="3" spans="2:10">
      <c r="B3" s="30" t="s">
        <v>221</v>
      </c>
      <c r="C3" s="30" t="s">
        <v>42</v>
      </c>
      <c r="D3" s="30" t="s">
        <v>225</v>
      </c>
      <c r="E3" s="30" t="s">
        <v>173</v>
      </c>
      <c r="F3" s="30" t="s">
        <v>223</v>
      </c>
      <c r="G3" s="30" t="s">
        <v>224</v>
      </c>
      <c r="H3" s="30" t="s">
        <v>213</v>
      </c>
      <c r="I3" s="30" t="s">
        <v>214</v>
      </c>
      <c r="J3" s="30" t="s">
        <v>215</v>
      </c>
    </row>
    <row r="4" spans="2:10" ht="21" customHeight="1">
      <c r="B4" s="30" t="s">
        <v>167</v>
      </c>
      <c r="C4" s="30" t="s">
        <v>91</v>
      </c>
      <c r="D4" s="30" t="str">
        <f>SUBSTITUTE( IF( IFERROR( FIND("doc", Table1[[#This Row],[category]]), 0), "note", Table1[[#This Row],[lang]]  &amp; "." ) &amp; Table1[[#This Row],[category]], ".", "_")</f>
        <v>notedoc_dep</v>
      </c>
      <c r="E4" s="30" t="str">
        <f t="array" ref="E4">_xlfn.TEXTJOIN( "|", TRUE, IF( Table2[category] = Table1[[#This Row],[category]], Table2[regexTerm], "") )</f>
        <v/>
      </c>
      <c r="F4" s="1" t="str">
        <f>re_atom_pattern_begin &amp; Table1[[#This Row],[regexTerm]] &amp; "(" &amp; Table1[[#This Row],[regexTerm]] &amp; ")" &amp; re_atom_pattern_end</f>
        <v>(?:!\w)()\b</v>
      </c>
      <c r="G4" s="1" t="str">
        <f>SUBSTITUTE( SUBSTITUTE( Table1[[#This Row],[regex_perl]],  "(?:", "(?&lt;" ), "\", "\\")</f>
        <v>(?&lt;!\\w)()\\b</v>
      </c>
      <c r="H4" s="1"/>
      <c r="I4" s="30" t="s">
        <v>216</v>
      </c>
    </row>
    <row r="5" spans="2:10" ht="34">
      <c r="B5" s="30" t="s">
        <v>167</v>
      </c>
      <c r="C5" s="30" t="s">
        <v>114</v>
      </c>
      <c r="D5" s="30" t="str">
        <f>SUBSTITUTE( IF( IFERROR( FIND("doc", Table1[[#This Row],[category]]), 0), "note", Table1[[#This Row],[lang]]  &amp; "." ) &amp; Table1[[#This Row],[category]], ".", "_")</f>
        <v>notedoc_exp</v>
      </c>
      <c r="E5" s="30" t="str">
        <f t="array" ref="E5">_xlfn.TEXTJOIN( "|", TRUE, IF( Table2[category] = Table1[[#This Row],[category]], Table2[regexTerm], "") )</f>
        <v>BREAK|CONTINUE|EXIT|(?:FOR(?:EACH))|IF|LAST|LOOP|NEXT|REF|REPEAT|SWITCH|UNLESS|UNTIL|WHILE</v>
      </c>
      <c r="F5" s="1" t="str">
        <f>re_atom_pattern_begin &amp; Table1[[#This Row],[regexTerm]] &amp; "(" &amp; Table1[[#This Row],[regexTerm]] &amp; ")" &amp; re_atom_pattern_end</f>
        <v>(?:!\w)BREAK|CONTINUE|EXIT|(?:FOR(?:EACH))|IF|LAST|LOOP|NEXT|REF|REPEAT|SWITCH|UNLESS|UNTIL|WHILE(BREAK|CONTINUE|EXIT|(?:FOR(?:EACH))|IF|LAST|LOOP|NEXT|REF|REPEAT|SWITCH|UNLESS|UNTIL|WHILE)\b</v>
      </c>
      <c r="G5" s="1" t="str">
        <f>SUBSTITUTE( SUBSTITUTE( Table1[[#This Row],[regex_perl]],  "(?:", "(?&lt;" ), "\", "\\")</f>
        <v>(?&lt;!\\w)BREAK|CONTINUE|EXIT|(?&lt;FOR(?&lt;EACH))|IF|LAST|LOOP|NEXT|REF|REPEAT|SWITCH|UNLESS|UNTIL|WHILE(BREAK|CONTINUE|EXIT|(?&lt;FOR(?&lt;EACH))|IF|LAST|LOOP|NEXT|REF|REPEAT|SWITCH|UNLESS|UNTIL|WHILE)\\b</v>
      </c>
      <c r="H5" s="1"/>
      <c r="I5" s="30" t="s">
        <v>216</v>
      </c>
    </row>
    <row r="6" spans="2:10">
      <c r="B6" s="30" t="s">
        <v>167</v>
      </c>
      <c r="C6" s="30" t="s">
        <v>110</v>
      </c>
      <c r="D6" s="30" t="str">
        <f>SUBSTITUTE( IF( IFERROR( FIND("doc", Table1[[#This Row],[category]]), 0), "note", Table1[[#This Row],[lang]]  &amp; "." ) &amp; Table1[[#This Row],[category]], ".", "_")</f>
        <v>notedoc_gen</v>
      </c>
      <c r="E6" s="30" t="str">
        <f t="array" ref="E6">_xlfn.TEXTJOIN( "|", TRUE, IF( Table2[category] = Table1[[#This Row],[category]], Table2[regexTerm], "") )</f>
        <v>ARRAY|ARRAY_?REF|HASH|HASH_?REF|KEYS?|OTHERWISE|TYPES?|VALUES?</v>
      </c>
      <c r="F6" s="1" t="str">
        <f>re_atom_pattern_begin &amp; Table1[[#This Row],[regexTerm]] &amp; "(" &amp; Table1[[#This Row],[regexTerm]] &amp; ")" &amp; re_atom_pattern_end</f>
        <v>(?:!\w)ARRAY|ARRAY_?REF|HASH|HASH_?REF|KEYS?|OTHERWISE|TYPES?|VALUES?(ARRAY|ARRAY_?REF|HASH|HASH_?REF|KEYS?|OTHERWISE|TYPES?|VALUES?)\b</v>
      </c>
      <c r="G6" s="1" t="str">
        <f>SUBSTITUTE( SUBSTITUTE( Table1[[#This Row],[regex_perl]],  "(?:", "(?&lt;" ), "\", "\\")</f>
        <v>(?&lt;!\\w)ARRAY|ARRAY_?REF|HASH|HASH_?REF|KEYS?|OTHERWISE|TYPES?|VALUES?(ARRAY|ARRAY_?REF|HASH|HASH_?REF|KEYS?|OTHERWISE|TYPES?|VALUES?)\\b</v>
      </c>
      <c r="H6" s="1"/>
      <c r="I6" s="30" t="s">
        <v>216</v>
      </c>
    </row>
    <row r="7" spans="2:10" ht="34">
      <c r="B7" s="30" t="s">
        <v>167</v>
      </c>
      <c r="C7" s="30" t="s">
        <v>89</v>
      </c>
      <c r="D7" s="30" t="str">
        <f>SUBSTITUTE( IF( IFERROR( FIND("doc", Table1[[#This Row],[category]]), 0), "note", Table1[[#This Row],[lang]]  &amp; "." ) &amp; Table1[[#This Row],[category]], ".", "_")</f>
        <v>notedoc_oo</v>
      </c>
      <c r="E7" s="30" t="str">
        <f t="array" ref="E7">_xlfn.TEXTJOIN( "|", TRUE, IF( Table2[category] = Table1[[#This Row],[category]], Table2[regexTerm], "") )</f>
        <v>(?:ATTR(?:IBUTE)?S?)|(?:CLASS(?:ES)?)|INTERFACES?|OBJECTS?|(?:PROPS?|PROPERT(?:Y|IES)?)|ROLES?|SLOTS?</v>
      </c>
      <c r="F7" s="1" t="str">
        <f>re_atom_pattern_begin &amp; Table1[[#This Row],[regexTerm]] &amp; "(" &amp; Table1[[#This Row],[regexTerm]] &amp; ")" &amp; re_atom_pattern_end</f>
        <v>(?:!\w)(?:ATTR(?:IBUTE)?S?)|(?:CLASS(?:ES)?)|INTERFACES?|OBJECTS?|(?:PROPS?|PROPERT(?:Y|IES)?)|ROLES?|SLOTS?((?:ATTR(?:IBUTE)?S?)|(?:CLASS(?:ES)?)|INTERFACES?|OBJECTS?|(?:PROPS?|PROPERT(?:Y|IES)?)|ROLES?|SLOTS?)\b</v>
      </c>
      <c r="G7" s="1" t="str">
        <f>SUBSTITUTE( SUBSTITUTE( Table1[[#This Row],[regex_perl]],  "(?:", "(?&lt;" ), "\", "\\")</f>
        <v>(?&lt;!\\w)(?&lt;ATTR(?&lt;IBUTE)?S?)|(?&lt;CLASS(?&lt;ES)?)|INTERFACES?|OBJECTS?|(?&lt;PROPS?|PROPERT(?&lt;Y|IES)?)|ROLES?|SLOTS?((?&lt;ATTR(?&lt;IBUTE)?S?)|(?&lt;CLASS(?&lt;ES)?)|INTERFACES?|OBJECTS?|(?&lt;PROPS?|PROPERT(?&lt;Y|IES)?)|ROLES?|SLOTS?)\\b</v>
      </c>
      <c r="H7" s="1"/>
      <c r="I7" s="30" t="s">
        <v>216</v>
      </c>
    </row>
    <row r="8" spans="2:10">
      <c r="B8" s="30" t="s">
        <v>167</v>
      </c>
      <c r="C8" s="30" t="s">
        <v>178</v>
      </c>
      <c r="D8" s="30" t="str">
        <f>SUBSTITUTE( IF( IFERROR( FIND("doc", Table1[[#This Row],[category]]), 0), "note", Table1[[#This Row],[lang]]  &amp; "." ) &amp; Table1[[#This Row],[category]], ".", "_")</f>
        <v>notedoc_routine</v>
      </c>
      <c r="E8" s="30" t="str">
        <f t="array" ref="E8">_xlfn.TEXTJOIN( "|", TRUE, IF( Table2[category] = Table1[[#This Row],[category]], Table2[regexTerm], "") )</f>
        <v/>
      </c>
      <c r="F8" s="1" t="str">
        <f>re_atom_pattern_begin &amp; Table1[[#This Row],[regexTerm]] &amp; "(" &amp; Table1[[#This Row],[regexTerm]] &amp; ")" &amp; re_atom_pattern_end</f>
        <v>(?:!\w)()\b</v>
      </c>
      <c r="G8" s="1" t="str">
        <f>SUBSTITUTE( SUBSTITUTE( Table1[[#This Row],[regex_perl]],  "(?:", "(?&lt;" ), "\", "\\")</f>
        <v>(?&lt;!\\w)()\\b</v>
      </c>
      <c r="H8" s="1"/>
      <c r="I8" s="30" t="s">
        <v>216</v>
      </c>
    </row>
    <row r="9" spans="2:10">
      <c r="B9" s="30" t="s">
        <v>167</v>
      </c>
      <c r="C9" s="30" t="s">
        <v>211</v>
      </c>
      <c r="D9" s="30" t="str">
        <f>SUBSTITUTE( IF( IFERROR( FIND("doc", Table1[[#This Row],[category]]), 0), "note", Table1[[#This Row],[lang]]  &amp; "." ) &amp; Table1[[#This Row],[category]], ".", "_")</f>
        <v>notedoc_program</v>
      </c>
      <c r="E9" s="30" t="str">
        <f t="array" ref="E9">_xlfn.TEXTJOIN( "|", TRUE, IF( Table2[category] = Table1[[#This Row],[category]], Table2[regexTerm], "") )</f>
        <v/>
      </c>
      <c r="F9" s="1" t="str">
        <f>re_atom_pattern_begin &amp; Table1[[#This Row],[regexTerm]] &amp; "(" &amp; Table1[[#This Row],[regexTerm]] &amp; ")" &amp; re_atom_pattern_end</f>
        <v>(?:!\w)()\b</v>
      </c>
      <c r="G9" s="1" t="str">
        <f>SUBSTITUTE( SUBSTITUTE( Table1[[#This Row],[regex_perl]],  "(?:", "(?&lt;" ), "\", "\\")</f>
        <v>(?&lt;!\\w)()\\b</v>
      </c>
      <c r="H9" s="1"/>
      <c r="I9" s="30" t="s">
        <v>216</v>
      </c>
    </row>
    <row r="10" spans="2:10">
      <c r="B10" s="30" t="s">
        <v>167</v>
      </c>
      <c r="C10" s="30" t="s">
        <v>212</v>
      </c>
      <c r="D10" s="30" t="str">
        <f>SUBSTITUTE( IF( IFERROR( FIND("doc", Table1[[#This Row],[category]]), 0), "note", Table1[[#This Row],[lang]]  &amp; "." ) &amp; Table1[[#This Row],[category]], ".", "_")</f>
        <v>notedoc_system</v>
      </c>
      <c r="E10" s="30" t="str">
        <f t="array" ref="E10">_xlfn.TEXTJOIN( "|", TRUE, IF( Table2[category] = Table1[[#This Row],[category]], Table2[regexTerm], "") )</f>
        <v/>
      </c>
      <c r="F10" s="1" t="str">
        <f>re_atom_pattern_begin &amp; Table1[[#This Row],[regexTerm]] &amp; "(" &amp; Table1[[#This Row],[regexTerm]] &amp; ")" &amp; re_atom_pattern_end</f>
        <v>(?:!\w)()\b</v>
      </c>
      <c r="G10" s="1" t="str">
        <f>SUBSTITUTE( SUBSTITUTE( Table1[[#This Row],[regex_perl]],  "(?:", "(?&lt;" ), "\", "\\")</f>
        <v>(?&lt;!\\w)()\\b</v>
      </c>
      <c r="H10" s="1"/>
      <c r="I10" s="30" t="s">
        <v>216</v>
      </c>
    </row>
    <row r="11" spans="2:10">
      <c r="B11" s="30" t="s">
        <v>167</v>
      </c>
      <c r="C11" s="30" t="s">
        <v>90</v>
      </c>
      <c r="D11" s="30" t="str">
        <f>SUBSTITUTE( IF( IFERROR( FIND("doc", Table1[[#This Row],[category]]), 0), "note", Table1[[#This Row],[lang]]  &amp; "." ) &amp; Table1[[#This Row],[category]], ".", "_")</f>
        <v>notedoc_unit</v>
      </c>
      <c r="E11" s="30" t="str">
        <f t="array" ref="E11">_xlfn.TEXTJOIN( "|", TRUE, IF( Table2[category] = Table1[[#This Row],[category]], Table2[regexTerm], "") )</f>
        <v/>
      </c>
      <c r="F11" s="1" t="str">
        <f>re_atom_pattern_begin &amp; Table1[[#This Row],[regexTerm]] &amp; "(" &amp; Table1[[#This Row],[regexTerm]] &amp; ")" &amp; re_atom_pattern_end</f>
        <v>(?:!\w)()\b</v>
      </c>
      <c r="G11" s="1" t="str">
        <f>SUBSTITUTE( SUBSTITUTE( Table1[[#This Row],[regex_perl]],  "(?:", "(?&lt;" ), "\", "\\")</f>
        <v>(?&lt;!\\w)()\\b</v>
      </c>
      <c r="H11" s="1"/>
      <c r="I11" s="30" t="s">
        <v>216</v>
      </c>
    </row>
    <row r="12" spans="2:10">
      <c r="B12" s="30" t="s">
        <v>51</v>
      </c>
      <c r="C12" s="30" t="s">
        <v>63</v>
      </c>
      <c r="D12" s="30" t="str">
        <f>SUBSTITUTE( IF( IFERROR( FIND("doc", Table1[[#This Row],[category]]), 0), "note", Table1[[#This Row],[lang]]  &amp; "." ) &amp; Table1[[#This Row],[category]], ".", "_")</f>
        <v>noted_intent</v>
      </c>
      <c r="E12" s="30" t="str">
        <f t="array" ref="E12">_xlfn.TEXTJOIN( "|", TRUE, IF( Table2[category] = Table1[[#This Row],[category]], Table2[regexTerm], "") )</f>
        <v/>
      </c>
      <c r="F12" s="1" t="str">
        <f>re_atom_pattern_begin &amp; Table1[[#This Row],[regexTerm]] &amp; "(" &amp; Table1[[#This Row],[regexTerm]] &amp; ")" &amp; re_atom_pattern_end</f>
        <v>(?:!\w)()\b</v>
      </c>
      <c r="G12" s="1" t="str">
        <f>SUBSTITUTE( SUBSTITUTE( Table1[[#This Row],[regex_perl]],  "(?:", "(?&lt;" ), "\", "\\")</f>
        <v>(?&lt;!\\w)()\\b</v>
      </c>
      <c r="H12" s="1"/>
      <c r="I12" s="30" t="s">
        <v>216</v>
      </c>
    </row>
    <row r="13" spans="2:10">
      <c r="B13" s="30" t="s">
        <v>51</v>
      </c>
      <c r="C13" s="30" t="s">
        <v>57</v>
      </c>
      <c r="D13" s="30" t="str">
        <f>SUBSTITUTE( IF( IFERROR( FIND("doc", Table1[[#This Row],[category]]), 0), "note", Table1[[#This Row],[lang]]  &amp; "." ) &amp; Table1[[#This Row],[category]], ".", "_")</f>
        <v>noted_issue</v>
      </c>
      <c r="E13" s="30" t="str">
        <f t="array" ref="E13">_xlfn.TEXTJOIN( "|", TRUE, IF( Table2[category] = Table1[[#This Row],[category]], Table2[regexTerm], "") )</f>
        <v>BROKEN|BUG|FIXME|OMFGRLY|OMG|WTF</v>
      </c>
      <c r="F13" s="1" t="str">
        <f>re_atom_pattern_begin &amp; Table1[[#This Row],[regexTerm]] &amp; "(" &amp; Table1[[#This Row],[regexTerm]] &amp; ")" &amp; re_atom_pattern_end</f>
        <v>(?:!\w)BROKEN|BUG|FIXME|OMFGRLY|OMG|WTF(BROKEN|BUG|FIXME|OMFGRLY|OMG|WTF)\b</v>
      </c>
      <c r="G13" s="1" t="str">
        <f>SUBSTITUTE( SUBSTITUTE( Table1[[#This Row],[regex_perl]],  "(?:", "(?&lt;" ), "\", "\\")</f>
        <v>(?&lt;!\\w)BROKEN|BUG|FIXME|OMFGRLY|OMG|WTF(BROKEN|BUG|FIXME|OMFGRLY|OMG|WTF)\\b</v>
      </c>
      <c r="H13" s="1"/>
      <c r="I13" s="30" t="s">
        <v>216</v>
      </c>
    </row>
    <row r="14" spans="2:10">
      <c r="B14" s="30" t="s">
        <v>51</v>
      </c>
      <c r="C14" s="30" t="s">
        <v>54</v>
      </c>
      <c r="D14" s="30" t="str">
        <f>SUBSTITUTE( IF( IFERROR( FIND("doc", Table1[[#This Row],[category]]), 0), "note", Table1[[#This Row],[lang]]  &amp; "." ) &amp; Table1[[#This Row],[category]], ".", "_")</f>
        <v>noted_item</v>
      </c>
      <c r="E14" s="30" t="str">
        <f t="array" ref="E14">_xlfn.TEXTJOIN( "|", TRUE, IF( Table2[category] = Table1[[#This Row],[category]], Table2[regexTerm], "") )</f>
        <v/>
      </c>
      <c r="F14" s="1" t="str">
        <f>re_atom_pattern_begin &amp; Table1[[#This Row],[regexTerm]] &amp; "(" &amp; Table1[[#This Row],[regexTerm]] &amp; ")" &amp; re_atom_pattern_end</f>
        <v>(?:!\w)()\b</v>
      </c>
      <c r="G14" s="1" t="str">
        <f>SUBSTITUTE( SUBSTITUTE( Table1[[#This Row],[regex_perl]],  "(?:", "(?&lt;" ), "\", "\\")</f>
        <v>(?&lt;!\\w)()\\b</v>
      </c>
      <c r="H14" s="1"/>
      <c r="I14" s="30" t="s">
        <v>216</v>
      </c>
    </row>
    <row r="15" spans="2:10">
      <c r="B15" s="30" t="s">
        <v>51</v>
      </c>
      <c r="C15" s="30" t="s">
        <v>55</v>
      </c>
      <c r="D15" s="30" t="str">
        <f>SUBSTITUTE( IF( IFERROR( FIND("doc", Table1[[#This Row],[category]]), 0), "note", Table1[[#This Row],[lang]]  &amp; "." ) &amp; Table1[[#This Row],[category]], ".", "_")</f>
        <v>noted_loglevel</v>
      </c>
      <c r="E15" s="30" t="str">
        <f t="array" ref="E15">_xlfn.TEXTJOIN( "|", TRUE, IF( Table2[category] = Table1[[#This Row],[category]], Table2[regexTerm], "") )</f>
        <v/>
      </c>
      <c r="F15" s="1" t="str">
        <f>re_atom_pattern_begin &amp; Table1[[#This Row],[regexTerm]] &amp; "(" &amp; Table1[[#This Row],[regexTerm]] &amp; ")" &amp; re_atom_pattern_end</f>
        <v>(?:!\w)()\b</v>
      </c>
      <c r="G15" s="1" t="str">
        <f>SUBSTITUTE( SUBSTITUTE( Table1[[#This Row],[regex_perl]],  "(?:", "(?&lt;" ), "\", "\\")</f>
        <v>(?&lt;!\\w)()\\b</v>
      </c>
      <c r="H15" s="1"/>
      <c r="I15" s="30" t="s">
        <v>216</v>
      </c>
    </row>
    <row r="16" spans="2:10">
      <c r="B16" s="30" t="s">
        <v>51</v>
      </c>
      <c r="C16" s="30" t="s">
        <v>60</v>
      </c>
      <c r="D16" s="30" t="str">
        <f>SUBSTITUTE( IF( IFERROR( FIND("doc", Table1[[#This Row],[category]]), 0), "note", Table1[[#This Row],[lang]]  &amp; "." ) &amp; Table1[[#This Row],[category]], ".", "_")</f>
        <v>noted_person</v>
      </c>
      <c r="E16" s="30" t="str">
        <f t="array" ref="E16">_xlfn.TEXTJOIN( "|", TRUE, IF( Table2[category] = Table1[[#This Row],[category]], Table2[regexTerm], "") )</f>
        <v>KENTNL|TABULO|TAU</v>
      </c>
      <c r="F16" s="1" t="str">
        <f>re_atom_pattern_begin &amp; Table1[[#This Row],[regexTerm]] &amp; "(" &amp; Table1[[#This Row],[regexTerm]] &amp; ")" &amp; re_atom_pattern_end</f>
        <v>(?:!\w)KENTNL|TABULO|TAU(KENTNL|TABULO|TAU)\b</v>
      </c>
      <c r="G16" s="1" t="str">
        <f>SUBSTITUTE( SUBSTITUTE( Table1[[#This Row],[regex_perl]],  "(?:", "(?&lt;" ), "\", "\\")</f>
        <v>(?&lt;!\\w)KENTNL|TABULO|TAU(KENTNL|TABULO|TAU)\\b</v>
      </c>
      <c r="H16" s="1"/>
      <c r="I16" s="30" t="s">
        <v>216</v>
      </c>
    </row>
    <row r="17" spans="2:9">
      <c r="B17" s="30" t="s">
        <v>51</v>
      </c>
      <c r="C17" s="30" t="s">
        <v>75</v>
      </c>
      <c r="D17" s="30" t="str">
        <f>SUBSTITUTE( IF( IFERROR( FIND("doc", Table1[[#This Row],[category]]), 0), "note", Table1[[#This Row],[lang]]  &amp; "." ) &amp; Table1[[#This Row],[category]], ".", "_")</f>
        <v>noted_shout</v>
      </c>
      <c r="E17" s="30" t="str">
        <f t="array" ref="E17">_xlfn.TEXTJOIN( "|", TRUE, IF( Table2[category] = Table1[[#This Row],[category]], Table2[regexTerm], "") )</f>
        <v>ATTENTION|ATTN|TEMP|XXX|ERR|HACK|WARNING</v>
      </c>
      <c r="F17" s="1" t="str">
        <f>re_atom_pattern_begin &amp; Table1[[#This Row],[regexTerm]] &amp; "(" &amp; Table1[[#This Row],[regexTerm]] &amp; ")" &amp; re_atom_pattern_end</f>
        <v>(?:!\w)ATTENTION|ATTN|TEMP|XXX|ERR|HACK|WARNING(ATTENTION|ATTN|TEMP|XXX|ERR|HACK|WARNING)\b</v>
      </c>
      <c r="G17" s="1" t="str">
        <f>SUBSTITUTE( SUBSTITUTE( Table1[[#This Row],[regex_perl]],  "(?:", "(?&lt;" ), "\", "\\")</f>
        <v>(?&lt;!\\w)ATTENTION|ATTN|TEMP|XXX|ERR|HACK|WARNING(ATTENTION|ATTN|TEMP|XXX|ERR|HACK|WARNING)\\b</v>
      </c>
      <c r="H17" s="1"/>
      <c r="I17" s="30" t="s">
        <v>216</v>
      </c>
    </row>
    <row r="18" spans="2:9">
      <c r="B18" s="30" t="s">
        <v>51</v>
      </c>
      <c r="C18" s="30" t="s">
        <v>50</v>
      </c>
      <c r="D18" s="30" t="str">
        <f>SUBSTITUTE( IF( IFERROR( FIND("doc", Table1[[#This Row],[category]]), 0), "note", Table1[[#This Row],[lang]]  &amp; "." ) &amp; Table1[[#This Row],[category]], ".", "_")</f>
        <v>noted_spook</v>
      </c>
      <c r="E18" s="30" t="str">
        <f t="array" ref="E18">_xlfn.TEXTJOIN( "|", TRUE, IF( Table2[category] = Table1[[#This Row],[category]], Table2[regexTerm], "") )</f>
        <v/>
      </c>
      <c r="F18" s="1" t="str">
        <f>re_atom_pattern_begin &amp; Table1[[#This Row],[regexTerm]] &amp; "(" &amp; Table1[[#This Row],[regexTerm]] &amp; ")" &amp; re_atom_pattern_end</f>
        <v>(?:!\w)()\b</v>
      </c>
      <c r="G18" s="1" t="str">
        <f>SUBSTITUTE( SUBSTITUTE( Table1[[#This Row],[regex_perl]],  "(?:", "(?&lt;" ), "\", "\\")</f>
        <v>(?&lt;!\\w)()\\b</v>
      </c>
      <c r="H18" s="1"/>
      <c r="I18" s="30" t="s">
        <v>216</v>
      </c>
    </row>
    <row r="19" spans="2:9">
      <c r="B19" s="30" t="s">
        <v>51</v>
      </c>
      <c r="C19" s="30" t="s">
        <v>58</v>
      </c>
      <c r="D19" s="30" t="str">
        <f>SUBSTITUTE( IF( IFERROR( FIND("doc", Table1[[#This Row],[category]]), 0), "note", Table1[[#This Row],[lang]]  &amp; "." ) &amp; Table1[[#This Row],[category]], ".", "_")</f>
        <v>noted_status</v>
      </c>
      <c r="E19" s="30" t="str">
        <f t="array" ref="E19">_xlfn.TEXTJOIN( "|", TRUE, IF( Table2[category] = Table1[[#This Row],[category]], Table2[regexTerm], "") )</f>
        <v>DONE|CHANGED</v>
      </c>
      <c r="F19" s="1" t="str">
        <f>re_atom_pattern_begin &amp; Table1[[#This Row],[regexTerm]] &amp; "(" &amp; Table1[[#This Row],[regexTerm]] &amp; ")" &amp; re_atom_pattern_end</f>
        <v>(?:!\w)DONE|CHANGED(DONE|CHANGED)\b</v>
      </c>
      <c r="G19" s="1" t="str">
        <f>SUBSTITUTE( SUBSTITUTE( Table1[[#This Row],[regex_perl]],  "(?:", "(?&lt;" ), "\", "\\")</f>
        <v>(?&lt;!\\w)DONE|CHANGED(DONE|CHANGED)\\b</v>
      </c>
      <c r="H19" s="1"/>
      <c r="I19" s="30" t="s">
        <v>216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0DB7-C716-5745-8290-8F055B3959D0}">
  <sheetPr codeName="Sheet4"/>
  <dimension ref="B1:BN73"/>
  <sheetViews>
    <sheetView topLeftCell="C20" zoomScaleNormal="100" workbookViewId="0">
      <selection activeCell="AX36" sqref="AX36"/>
    </sheetView>
  </sheetViews>
  <sheetFormatPr baseColWidth="10" defaultRowHeight="17"/>
  <cols>
    <col min="1" max="1" width="5.7109375" style="1" customWidth="1"/>
    <col min="2" max="2" width="8.42578125" style="1" customWidth="1"/>
    <col min="3" max="3" width="72.85546875" style="1" customWidth="1"/>
    <col min="4" max="4" width="29.85546875" customWidth="1"/>
    <col min="5" max="5" width="11.7109375" style="1" customWidth="1"/>
    <col min="6" max="7" width="9.5703125" style="1" customWidth="1"/>
    <col min="8" max="8" width="7.28515625" style="1" customWidth="1"/>
    <col min="9" max="9" width="14.28515625" style="1" customWidth="1"/>
    <col min="10" max="10" width="10.5703125" style="63" customWidth="1"/>
    <col min="11" max="11" width="3.42578125" style="63" customWidth="1"/>
    <col min="12" max="12" width="10.7109375" style="63" customWidth="1"/>
    <col min="13" max="13" width="22.42578125" style="2" hidden="1" customWidth="1"/>
    <col min="14" max="14" width="15.28515625" style="2" hidden="1" customWidth="1"/>
    <col min="15" max="15" width="9.28515625" style="2" hidden="1" customWidth="1"/>
    <col min="16" max="16" width="65.5703125" hidden="1" customWidth="1"/>
    <col min="17" max="17" width="8.5703125" hidden="1" customWidth="1"/>
    <col min="18" max="18" width="5.85546875" hidden="1" customWidth="1"/>
    <col min="19" max="19" width="4.7109375" hidden="1" customWidth="1"/>
    <col min="20" max="20" width="5.28515625" hidden="1" customWidth="1"/>
    <col min="21" max="21" width="1.85546875" style="2" hidden="1" customWidth="1"/>
    <col min="22" max="22" width="15.28515625" style="2" hidden="1" customWidth="1"/>
    <col min="23" max="23" width="5.85546875" hidden="1" customWidth="1"/>
    <col min="24" max="24" width="6.5703125" style="2" hidden="1" customWidth="1"/>
    <col min="25" max="25" width="8.5703125" hidden="1" customWidth="1"/>
    <col min="26" max="26" width="14.28515625" hidden="1" customWidth="1"/>
    <col min="27" max="27" width="7" hidden="1" customWidth="1"/>
    <col min="28" max="28" width="3.7109375" hidden="1" customWidth="1"/>
    <col min="29" max="29" width="8.140625" hidden="1" customWidth="1"/>
    <col min="30" max="30" width="6.140625" customWidth="1"/>
    <col min="31" max="31" width="11.28515625" customWidth="1"/>
    <col min="32" max="33" width="4.28515625" customWidth="1"/>
    <col min="34" max="34" width="10.28515625" customWidth="1"/>
    <col min="35" max="35" width="5" customWidth="1"/>
    <col min="36" max="36" width="7.140625" style="2" customWidth="1"/>
    <col min="37" max="37" width="5" customWidth="1"/>
    <col min="38" max="38" width="5.140625" customWidth="1"/>
    <col min="39" max="39" width="6.28515625" customWidth="1"/>
    <col min="40" max="40" width="9.7109375" customWidth="1"/>
    <col min="41" max="41" width="9" style="2" customWidth="1"/>
    <col min="42" max="42" width="8" customWidth="1"/>
    <col min="43" max="43" width="7.140625" customWidth="1"/>
    <col min="44" max="44" width="5" customWidth="1"/>
    <col min="45" max="45" width="3.7109375" customWidth="1"/>
    <col min="46" max="46" width="2.28515625" customWidth="1"/>
    <col min="47" max="47" width="4" customWidth="1"/>
    <col min="48" max="48" width="5.85546875" style="2" customWidth="1"/>
    <col min="49" max="49" width="6" style="2" customWidth="1"/>
    <col min="50" max="51" width="9.5703125" style="2" customWidth="1"/>
    <col min="53" max="53" width="9.28515625" style="2" customWidth="1"/>
    <col min="54" max="54" width="5.140625" style="2" customWidth="1"/>
    <col min="55" max="55" width="5.5703125" style="2" customWidth="1"/>
    <col min="56" max="56" width="12.140625" style="2" customWidth="1"/>
    <col min="57" max="57" width="13.140625" style="2" customWidth="1"/>
    <col min="58" max="58" width="6.140625" style="2" customWidth="1"/>
    <col min="59" max="59" width="7.28515625" style="2" customWidth="1"/>
    <col min="64" max="64" width="23.85546875" style="2" customWidth="1"/>
    <col min="65" max="65" width="11" style="2" customWidth="1"/>
    <col min="66" max="66" width="82.85546875" style="2" customWidth="1"/>
    <col min="67" max="16384" width="10.7109375" style="1"/>
  </cols>
  <sheetData>
    <row r="1" spans="2:66" ht="23" customHeight="1">
      <c r="D1" s="1"/>
      <c r="I1" s="63"/>
      <c r="J1" s="45"/>
      <c r="K1" s="45"/>
      <c r="L1" s="45"/>
      <c r="M1" s="1"/>
      <c r="N1" s="1"/>
      <c r="P1" s="2"/>
      <c r="Q1" s="2"/>
      <c r="R1" s="2"/>
      <c r="S1" s="2"/>
      <c r="T1" s="1"/>
      <c r="V1"/>
      <c r="W1" s="2"/>
      <c r="Y1" s="2"/>
      <c r="AA1" s="2"/>
      <c r="AB1" s="2"/>
      <c r="AC1" s="2"/>
      <c r="AD1" s="2"/>
      <c r="AE1" s="2"/>
      <c r="AF1" s="2"/>
      <c r="AG1" s="2"/>
      <c r="AH1" s="2"/>
      <c r="AI1" s="2"/>
      <c r="AK1" s="2"/>
      <c r="AL1" s="2"/>
      <c r="AM1" s="6" t="s">
        <v>138</v>
      </c>
      <c r="AO1"/>
      <c r="AP1" s="2"/>
      <c r="AQ1" s="2"/>
      <c r="AR1" s="2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2:66" s="3" customFormat="1">
      <c r="B2" s="102"/>
      <c r="C2" s="102"/>
      <c r="D2" s="102"/>
      <c r="E2" s="102"/>
      <c r="F2" s="102"/>
      <c r="G2" s="102"/>
      <c r="H2" s="102"/>
      <c r="I2" s="64"/>
      <c r="J2" s="103"/>
      <c r="K2" s="103"/>
      <c r="L2" s="103"/>
      <c r="M2" s="102"/>
      <c r="N2" s="102"/>
      <c r="O2" s="102"/>
      <c r="P2" s="102"/>
      <c r="Q2" s="102"/>
      <c r="R2" s="102"/>
      <c r="S2" s="102" t="str">
        <f>IF(S3=R3, "", R3+1)</f>
        <v/>
      </c>
      <c r="T2" s="102" t="str">
        <f t="shared" ref="T2:AO2" si="0">IF(T3=S3, "", S3+1)</f>
        <v/>
      </c>
      <c r="U2" s="102" t="str">
        <f t="shared" si="0"/>
        <v/>
      </c>
      <c r="V2" s="102" t="str">
        <f t="shared" si="0"/>
        <v/>
      </c>
      <c r="W2" s="102" t="str">
        <f t="shared" si="0"/>
        <v/>
      </c>
      <c r="X2" s="102">
        <f t="shared" si="0"/>
        <v>1</v>
      </c>
      <c r="Y2" s="102" t="str">
        <f t="shared" si="0"/>
        <v/>
      </c>
      <c r="Z2" s="102">
        <f t="shared" si="0"/>
        <v>2</v>
      </c>
      <c r="AA2" s="102">
        <f t="shared" si="0"/>
        <v>3</v>
      </c>
      <c r="AB2" s="102" t="str">
        <f t="shared" si="0"/>
        <v/>
      </c>
      <c r="AC2" s="102"/>
      <c r="AD2" s="102">
        <f>IF(AD3=AB3, "", AB3+1)</f>
        <v>4</v>
      </c>
      <c r="AE2" s="102">
        <f t="shared" si="0"/>
        <v>5</v>
      </c>
      <c r="AF2" s="102" t="str">
        <f t="shared" si="0"/>
        <v/>
      </c>
      <c r="AG2" s="102" t="str">
        <f t="shared" si="0"/>
        <v/>
      </c>
      <c r="AH2" s="102">
        <f t="shared" si="0"/>
        <v>6</v>
      </c>
      <c r="AI2" s="102">
        <f t="shared" si="0"/>
        <v>8</v>
      </c>
      <c r="AJ2" s="102" t="str">
        <f t="shared" si="0"/>
        <v/>
      </c>
      <c r="AK2" s="102" t="str">
        <f t="shared" si="0"/>
        <v/>
      </c>
      <c r="AL2" s="102" t="str">
        <f t="shared" si="0"/>
        <v/>
      </c>
      <c r="AM2" s="102">
        <f t="shared" si="0"/>
        <v>9</v>
      </c>
      <c r="AN2" s="102" t="str">
        <f t="shared" si="0"/>
        <v/>
      </c>
      <c r="AO2" s="102" t="str">
        <f t="shared" si="0"/>
        <v/>
      </c>
      <c r="AP2" s="104"/>
      <c r="AQ2" s="104"/>
      <c r="AR2" s="104"/>
    </row>
    <row r="3" spans="2:66" s="121" customFormat="1" ht="21" customHeight="1">
      <c r="B3" s="117"/>
      <c r="C3" s="117"/>
      <c r="D3" s="117"/>
      <c r="E3" s="117"/>
      <c r="F3" s="117"/>
      <c r="G3" s="117"/>
      <c r="H3" s="117"/>
      <c r="I3" s="118"/>
      <c r="J3" s="119"/>
      <c r="K3" s="119"/>
      <c r="L3" s="119"/>
      <c r="M3" s="117"/>
      <c r="N3" s="117"/>
      <c r="O3" s="117"/>
      <c r="P3" s="117"/>
      <c r="Q3" s="117"/>
      <c r="R3" s="117"/>
      <c r="S3" s="117">
        <f>SUM(R3, S$4)</f>
        <v>0</v>
      </c>
      <c r="T3" s="117">
        <f t="shared" ref="T3:AO3" si="1">SUM(S3, T$4)</f>
        <v>0</v>
      </c>
      <c r="U3" s="117">
        <f t="shared" si="1"/>
        <v>0</v>
      </c>
      <c r="V3" s="117">
        <f t="shared" si="1"/>
        <v>0</v>
      </c>
      <c r="W3" s="117">
        <f t="shared" si="1"/>
        <v>0</v>
      </c>
      <c r="X3" s="117">
        <f t="shared" si="1"/>
        <v>1</v>
      </c>
      <c r="Y3" s="117">
        <f t="shared" si="1"/>
        <v>1</v>
      </c>
      <c r="Z3" s="117">
        <f t="shared" si="1"/>
        <v>2</v>
      </c>
      <c r="AA3" s="117">
        <f t="shared" si="1"/>
        <v>3</v>
      </c>
      <c r="AB3" s="117">
        <f t="shared" si="1"/>
        <v>3</v>
      </c>
      <c r="AC3" s="117">
        <f t="shared" si="1"/>
        <v>4</v>
      </c>
      <c r="AD3" s="117">
        <f t="shared" si="1"/>
        <v>4</v>
      </c>
      <c r="AE3" s="117">
        <f t="shared" si="1"/>
        <v>5</v>
      </c>
      <c r="AF3" s="117">
        <f t="shared" si="1"/>
        <v>5</v>
      </c>
      <c r="AG3" s="117">
        <f t="shared" si="1"/>
        <v>5</v>
      </c>
      <c r="AH3" s="117">
        <f t="shared" si="1"/>
        <v>7</v>
      </c>
      <c r="AI3" s="117">
        <f t="shared" si="1"/>
        <v>8</v>
      </c>
      <c r="AJ3" s="117">
        <f t="shared" si="1"/>
        <v>8</v>
      </c>
      <c r="AK3" s="117">
        <f t="shared" si="1"/>
        <v>8</v>
      </c>
      <c r="AL3" s="117">
        <f t="shared" si="1"/>
        <v>8</v>
      </c>
      <c r="AM3" s="117">
        <f t="shared" si="1"/>
        <v>10</v>
      </c>
      <c r="AN3" s="117">
        <f t="shared" si="1"/>
        <v>10</v>
      </c>
      <c r="AO3" s="117">
        <f t="shared" si="1"/>
        <v>10</v>
      </c>
      <c r="AP3" s="120"/>
      <c r="AQ3" s="120"/>
      <c r="AR3" s="120"/>
    </row>
    <row r="4" spans="2:66" s="57" customFormat="1">
      <c r="B4" s="58"/>
      <c r="C4" s="58"/>
      <c r="D4" s="58"/>
      <c r="E4" s="58"/>
      <c r="F4" s="58"/>
      <c r="G4" s="58"/>
      <c r="H4" s="58"/>
      <c r="I4" s="60" t="s">
        <v>271</v>
      </c>
      <c r="J4" s="58"/>
      <c r="K4" s="58"/>
      <c r="L4" s="58"/>
      <c r="M4" s="58"/>
      <c r="N4" s="59"/>
      <c r="O4" s="58"/>
      <c r="P4" s="58"/>
      <c r="Q4" s="58"/>
      <c r="R4" s="59">
        <f>SUM(S4:AL4)</f>
        <v>8</v>
      </c>
      <c r="S4" s="58"/>
      <c r="T4" s="58"/>
      <c r="U4" s="58"/>
      <c r="V4" s="58"/>
      <c r="W4" s="58"/>
      <c r="X4" s="58">
        <v>1</v>
      </c>
      <c r="Y4" s="58"/>
      <c r="Z4" s="58">
        <v>1</v>
      </c>
      <c r="AA4" s="58">
        <v>1</v>
      </c>
      <c r="AB4" s="58"/>
      <c r="AC4" s="58">
        <v>1</v>
      </c>
      <c r="AD4" s="58"/>
      <c r="AE4" s="58">
        <v>1</v>
      </c>
      <c r="AF4" s="58"/>
      <c r="AG4" s="58"/>
      <c r="AH4" s="58">
        <v>2</v>
      </c>
      <c r="AI4" s="58">
        <v>1</v>
      </c>
      <c r="AJ4" s="58"/>
      <c r="AK4" s="58"/>
      <c r="AL4" s="58"/>
      <c r="AM4" s="58">
        <v>2</v>
      </c>
      <c r="AN4" s="58"/>
      <c r="AO4" s="58"/>
    </row>
    <row r="5" spans="2:66">
      <c r="B5" s="4" t="s">
        <v>248</v>
      </c>
      <c r="C5" s="4" t="s">
        <v>291</v>
      </c>
      <c r="D5" s="4" t="s">
        <v>307</v>
      </c>
      <c r="E5" s="4" t="s">
        <v>287</v>
      </c>
      <c r="F5" s="4" t="s">
        <v>337</v>
      </c>
      <c r="G5" s="4" t="s">
        <v>338</v>
      </c>
      <c r="H5" s="4" t="s">
        <v>339</v>
      </c>
      <c r="I5" s="4" t="s">
        <v>225</v>
      </c>
      <c r="J5" s="4" t="s">
        <v>293</v>
      </c>
      <c r="K5" s="4" t="s">
        <v>322</v>
      </c>
      <c r="L5" s="4" t="s">
        <v>290</v>
      </c>
      <c r="M5" s="61" t="s">
        <v>70</v>
      </c>
      <c r="N5" s="46" t="s">
        <v>71</v>
      </c>
      <c r="O5" s="5" t="s">
        <v>267</v>
      </c>
      <c r="P5" s="5" t="s">
        <v>266</v>
      </c>
      <c r="Q5" s="5" t="s">
        <v>346</v>
      </c>
      <c r="R5" s="5" t="s">
        <v>272</v>
      </c>
      <c r="S5" s="56" t="s">
        <v>262</v>
      </c>
      <c r="T5" s="56" t="s">
        <v>261</v>
      </c>
      <c r="U5" s="42" t="s">
        <v>283</v>
      </c>
      <c r="V5" s="42" t="s">
        <v>260</v>
      </c>
      <c r="W5" s="40" t="s">
        <v>259</v>
      </c>
      <c r="X5" s="44" t="s">
        <v>280</v>
      </c>
      <c r="Y5" s="39" t="s">
        <v>249</v>
      </c>
      <c r="Z5" s="42" t="s">
        <v>278</v>
      </c>
      <c r="AA5" s="53" t="s">
        <v>317</v>
      </c>
      <c r="AB5" s="53" t="s">
        <v>279</v>
      </c>
      <c r="AC5" s="53" t="s">
        <v>340</v>
      </c>
      <c r="AD5" s="53" t="s">
        <v>277</v>
      </c>
      <c r="AE5" s="39" t="s">
        <v>313</v>
      </c>
      <c r="AF5" s="53" t="s">
        <v>316</v>
      </c>
      <c r="AG5" s="53" t="s">
        <v>315</v>
      </c>
      <c r="AH5" s="5" t="s">
        <v>318</v>
      </c>
      <c r="AI5" s="55" t="s">
        <v>319</v>
      </c>
      <c r="AJ5" s="54" t="s">
        <v>282</v>
      </c>
      <c r="AK5" s="54" t="s">
        <v>281</v>
      </c>
      <c r="AL5" s="54" t="s">
        <v>273</v>
      </c>
      <c r="AM5" s="50" t="s">
        <v>274</v>
      </c>
      <c r="AN5" s="52" t="s">
        <v>250</v>
      </c>
      <c r="AO5" s="40" t="s">
        <v>258</v>
      </c>
      <c r="AP5" s="6" t="s">
        <v>138</v>
      </c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</row>
    <row r="6" spans="2:66" ht="16" customHeight="1">
      <c r="B6" s="34" t="s">
        <v>296</v>
      </c>
      <c r="C6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6" s="74" t="str">
        <f>IFx( Table4[[#This Row],[rule_name]], _xlfn.TEXTJOIN(" ",, "{", "include:", "'#" &amp; Table4[[#This Row],[rule_name]] &amp; "'", "}"))</f>
        <v/>
      </c>
      <c r="E6" s="66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6" s="66" t="str">
        <f>IF(Table4[[#This Row],[spirit]]="", "", re_surround(1,, "'", "'", SUBSTITUTE(meta_subscope_mask, spirit_placeholder, Table4[[#This Row],[spirit]])))</f>
        <v/>
      </c>
      <c r="G6" s="66" t="str">
        <f>IF(Table4[[#This Row],[spirit]]="", "", re_surround(1,, "'", "'", SUBSTITUTE(markup_subscope_mask, spirit_placeholder, Table4[[#This Row],[spirit]])))</f>
        <v/>
      </c>
      <c r="H6" s="68" t="str">
        <f>IF(Table4[[#This Row],[spirit]]="", "",  re_surround(1,, "'", "'",SUBSTITUTE(dynamic_subscope_mask, spirit_placeholder, Table4[[#This Row],[spirit]])))</f>
        <v/>
      </c>
      <c r="I6" s="97" t="str">
        <f>SUBSTITUTE(SUBSTITUTE(IF(Table4[[#This Row],[spirit]]="", "", Table4[[#This Row],[rule_name_pfx]] &amp; IF(Table4[[#This Row],[spirit]]="undef", "", Table4[[#This Row],[spirit]])), ".", "_"), "-", "_")</f>
        <v/>
      </c>
      <c r="J6" s="75"/>
      <c r="K6" s="75"/>
      <c r="L6" s="93"/>
      <c r="M6" s="91"/>
      <c r="N6" s="47"/>
      <c r="O6" s="47"/>
      <c r="P6" s="35"/>
      <c r="Q6" s="35"/>
      <c r="R6" s="80" t="b">
        <f>OR( Table4[[#This Row],[use]] = "", Table4[[#This Row],[use]] = "custom", Table4[[#This Row],[use]] = "alternate" )</f>
        <v>1</v>
      </c>
      <c r="S6" s="80" t="str">
        <f>re_surround(1,,"'", "'",  Table4[[#This Row],[re_escaped]])</f>
        <v/>
      </c>
      <c r="T6" s="80" t="str">
        <f>SUBSTITUTE(Table4[[#This Row],[regex]], "\", "\\")</f>
        <v/>
      </c>
      <c r="U6" s="81" t="str">
        <f t="shared" ref="U6:U50" si="2">"|"</f>
        <v>|</v>
      </c>
      <c r="V6" s="80" t="str">
        <f>IFx(Table4[[#This Row],[noCalc]],"", IFx(Table4[[#This Row],[reSpan]], re_group( V$4, , Table4[[#This Row],[before]] &amp; Table4[[#This Row],[reSpan]] &amp; Table4[[#This Row],[after]])))</f>
        <v/>
      </c>
      <c r="W6" s="80" t="str">
        <f>IF(Table4[[#This Row],[noCalc]], "", re_group( T$4, , re_tag_before ))</f>
        <v/>
      </c>
      <c r="X6" s="47" t="str">
        <f>IFx( Table4[[#This Row],[noCalc]], "", IFx(  Table4[[#This Row],[reHashRef]], re_group(X$4,, Table4[[#This Row],[begin]] &amp; Table4[[#This Row],[reHashRef]] &amp; Table4[[#This Row],[end]])))</f>
        <v/>
      </c>
      <c r="Y6" s="47" t="str">
        <f>re_group(Y$4,, Table4[[#This Row],[rePrelude]])</f>
        <v/>
      </c>
      <c r="Z6" s="82" t="str">
        <f>IFx(Table4[[#This Row],[noCalc]], "", IFx(Table4[[#This Row],[reSpiritSymbolChars]], re_group(  Z$4,,  Table4[[#This Row],[reSpiritDesignator]] &amp; Table4[[#This Row],[reLevel]])))</f>
        <v/>
      </c>
      <c r="AA6" s="80" t="str">
        <f>IFx( Table4[[#This Row],[noCalc]], "", IFx(Table4[[#This Row],[reSpiritSymbolChars]], re_group(  AA$4,,  Table4[[#This Row],[reSpiritSymbol]]  &amp; Table4[[#This Row],[reSpiritSymbolQ]] ) ))</f>
        <v/>
      </c>
      <c r="AB6" s="47"/>
      <c r="AC6" s="47" t="str">
        <f>IFx( Table4[[#This Row],[noCalc]], "", IFx(Table4[[#This Row],[reSpiritSymbolChars]], re_group(  AC$4,, re_bracket(1,,  Table4[[#This Row],[reSpiritSymbolChars]]) )))</f>
        <v/>
      </c>
      <c r="AD6" s="35"/>
      <c r="AE6" s="87" t="str">
        <f>IF(Table4[[#This Row],[noCalc]], "",  IFx(Table4[[#This Row],[reLevelChars]],  re_group(  AE$4,,  re_group_no_capture( 1,, re_bracket(1,, Table4[[#This Row],[reLevelChars]])) &amp; "?")))</f>
        <v/>
      </c>
      <c r="AF6" s="47"/>
      <c r="AG6" s="47"/>
      <c r="AH6" s="47" t="str">
        <f>IFx(Table4[[#This Row],[noCalc]], "", IFx( Table4[[#This Row],[reRefType]], re_group( AH$4,,Table4[[#This Row],[reRefType]] &amp; Table4[[#This Row],[reLabel]])))</f>
        <v/>
      </c>
      <c r="AI6" s="80" t="str">
        <f xml:space="preserve"> re_group( AI$4,,  Table4[[#This Row],[reHashSymbol]] &amp; Table4[[#This Row],[ReHashSymbolQ]] )</f>
        <v/>
      </c>
      <c r="AJ6" s="83"/>
      <c r="AK6" s="84" t="str">
        <f>re_group( AK$4,, re_bracket(1,, Table4[[#This Row],[reHashChars]]))</f>
        <v/>
      </c>
      <c r="AL6" s="85"/>
      <c r="AM6" s="82" t="str">
        <f>IFx(Table4[[#This Row],[noCalc]], "", re_group( AM$4,, re_tag_label_simple))</f>
        <v/>
      </c>
      <c r="AN6" s="80" t="str">
        <f>IFx(Table4[[#This Row],[noCalc]], "", re_group( AN$4,, re_tag_tail))</f>
        <v/>
      </c>
      <c r="AO6" s="80" t="str">
        <f>IFx(Table4[[#This Row],[noCalc]], "", re_group( AL$4,, re_tag_after))</f>
        <v/>
      </c>
      <c r="AP6" s="6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</row>
    <row r="7" spans="2:66" ht="34">
      <c r="B7" s="48" t="s">
        <v>296</v>
      </c>
      <c r="C7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7" s="74" t="str">
        <f>IFx( Table4[[#This Row],[rule_name]], _xlfn.TEXTJOIN(" ",, "{", "include:", "'#" &amp; Table4[[#This Row],[rule_name]] &amp; "'", "}"))</f>
        <v/>
      </c>
      <c r="E7" s="66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7" s="66" t="str">
        <f>IF(Table4[[#This Row],[spirit]]="", "", re_surround(1,, "'", "'", SUBSTITUTE(meta_subscope_mask, spirit_placeholder, Table4[[#This Row],[spirit]])))</f>
        <v/>
      </c>
      <c r="G7" s="66" t="str">
        <f>IF(Table4[[#This Row],[spirit]]="", "", re_surround(1,, "'", "'", SUBSTITUTE(markup_subscope_mask, spirit_placeholder, Table4[[#This Row],[spirit]])))</f>
        <v/>
      </c>
      <c r="H7" s="68" t="str">
        <f>IF(Table4[[#This Row],[spirit]]="", "",  re_surround(1,, "'", "'",SUBSTITUTE(dynamic_subscope_mask, spirit_placeholder, Table4[[#This Row],[spirit]])))</f>
        <v/>
      </c>
      <c r="I7" s="97" t="str">
        <f>SUBSTITUTE(SUBSTITUTE(IF(Table4[[#This Row],[spirit]]="", "", Table4[[#This Row],[rule_name_pfx]] &amp; IF(Table4[[#This Row],[spirit]]="undef", "", Table4[[#This Row],[spirit]])), ".", "_"), "-", "_")</f>
        <v/>
      </c>
      <c r="J7" s="75"/>
      <c r="K7" s="75"/>
      <c r="L7" s="93"/>
      <c r="M7" s="91" t="s">
        <v>288</v>
      </c>
      <c r="N7" s="65" t="s">
        <v>289</v>
      </c>
      <c r="O7" s="47"/>
      <c r="P7" s="35"/>
      <c r="Q7" s="35"/>
      <c r="R7" s="80" t="b">
        <f>OR( Table4[[#This Row],[use]] = "", Table4[[#This Row],[use]] = "custom", Table4[[#This Row],[use]] = "alternate" )</f>
        <v>1</v>
      </c>
      <c r="S7" s="80" t="str">
        <f>re_surround(1,,"'", "'",  Table4[[#This Row],[re_escaped]])</f>
        <v/>
      </c>
      <c r="T7" s="80" t="str">
        <f>SUBSTITUTE(Table4[[#This Row],[regex]], "\", "\\")</f>
        <v/>
      </c>
      <c r="U7" s="81" t="str">
        <f t="shared" si="2"/>
        <v>|</v>
      </c>
      <c r="V7" s="80" t="str">
        <f>IFx(Table4[[#This Row],[noCalc]],"", IFx(Table4[[#This Row],[reSpan]], re_group( V$4, , Table4[[#This Row],[before]] &amp; Table4[[#This Row],[reSpan]] &amp; Table4[[#This Row],[after]])))</f>
        <v/>
      </c>
      <c r="W7" s="80" t="str">
        <f>IF(Table4[[#This Row],[noCalc]], "", re_group( T$4, , re_tag_before ))</f>
        <v/>
      </c>
      <c r="X7" s="47" t="str">
        <f>IFx( Table4[[#This Row],[noCalc]], "", IFx(  Table4[[#This Row],[reHashRef]], re_group(X$4,, Table4[[#This Row],[begin]] &amp; Table4[[#This Row],[reHashRef]] &amp; Table4[[#This Row],[end]])))</f>
        <v/>
      </c>
      <c r="Y7" s="47" t="str">
        <f>re_group(Y$4,, Table4[[#This Row],[rePrelude]])</f>
        <v/>
      </c>
      <c r="Z7" s="82" t="str">
        <f>IFx(Table4[[#This Row],[noCalc]], "", IFx(Table4[[#This Row],[reSpiritSymbolChars]], re_group(  Z$4,,  Table4[[#This Row],[reSpiritDesignator]] &amp; Table4[[#This Row],[reLevel]])))</f>
        <v/>
      </c>
      <c r="AA7" s="80" t="str">
        <f>IFx( Table4[[#This Row],[noCalc]], "", IFx(Table4[[#This Row],[reSpiritSymbolChars]], re_group(  AA$4,,  Table4[[#This Row],[reSpiritSymbol]]  &amp; Table4[[#This Row],[reSpiritSymbolQ]] ) ))</f>
        <v/>
      </c>
      <c r="AB7" s="47"/>
      <c r="AC7" s="47" t="str">
        <f>IFx( Table4[[#This Row],[noCalc]], "", IFx(Table4[[#This Row],[reSpiritSymbolChars]], re_group(  AC$4,, re_bracket(1,,  Table4[[#This Row],[reSpiritSymbolChars]]) )))</f>
        <v/>
      </c>
      <c r="AD7" s="35"/>
      <c r="AE7" s="87" t="str">
        <f>IF(Table4[[#This Row],[noCalc]], "",  IFx(Table4[[#This Row],[reLevelChars]],  re_group(  AE$4,,  re_group_no_capture( 1,, re_bracket(1,, Table4[[#This Row],[reLevelChars]])) &amp; "?")))</f>
        <v/>
      </c>
      <c r="AF7" s="47"/>
      <c r="AG7" s="47"/>
      <c r="AH7" s="47" t="str">
        <f>IFx(Table4[[#This Row],[noCalc]], "", IFx( Table4[[#This Row],[reRefType]], re_group( AH$4,,Table4[[#This Row],[reRefType]] &amp; Table4[[#This Row],[reLabel]])))</f>
        <v/>
      </c>
      <c r="AI7" s="80" t="str">
        <f xml:space="preserve"> re_group( AI$4,,  Table4[[#This Row],[reHashSymbol]] &amp; Table4[[#This Row],[ReHashSymbolQ]] )</f>
        <v/>
      </c>
      <c r="AJ7" s="83"/>
      <c r="AK7" s="84" t="str">
        <f>re_group( AK$4,, re_bracket(1,, Table4[[#This Row],[reHashChars]]))</f>
        <v/>
      </c>
      <c r="AL7" s="85"/>
      <c r="AM7" s="87" t="str">
        <f>IFx(Table4[[#This Row],[noCalc]], "", re_group( AM$4,, re_tag_label_simple))</f>
        <v/>
      </c>
      <c r="AN7" s="80" t="str">
        <f>IFx(Table4[[#This Row],[noCalc]], "", re_group( AN$4,, re_tag_tail))</f>
        <v/>
      </c>
      <c r="AO7" s="80" t="str">
        <f>IFx(Table4[[#This Row],[noCalc]], "", re_group( AL$4,, re_tag_after))</f>
        <v/>
      </c>
      <c r="AP7" s="6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</row>
    <row r="8" spans="2:66">
      <c r="B8" s="48"/>
      <c r="C8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8" s="74" t="str">
        <f>IFx( Table4[[#This Row],[rule_name]], _xlfn.TEXTJOIN(" ",, "{", "include:", "'#" &amp; Table4[[#This Row],[rule_name]] &amp; "'", "}"))</f>
        <v/>
      </c>
      <c r="E8" s="66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8" s="66" t="str">
        <f>IF(Table4[[#This Row],[spirit]]="", "", re_surround(1,, "'", "'", SUBSTITUTE(meta_subscope_mask, spirit_placeholder, Table4[[#This Row],[spirit]])))</f>
        <v/>
      </c>
      <c r="G8" s="66" t="str">
        <f>IF(Table4[[#This Row],[spirit]]="", "", re_surround(1,, "'", "'", SUBSTITUTE(markup_subscope_mask, spirit_placeholder, Table4[[#This Row],[spirit]])))</f>
        <v/>
      </c>
      <c r="H8" s="68" t="str">
        <f>IF(Table4[[#This Row],[spirit]]="", "",  re_surround(1,, "'", "'",SUBSTITUTE(dynamic_subscope_mask, spirit_placeholder, Table4[[#This Row],[spirit]])))</f>
        <v/>
      </c>
      <c r="I8" s="97" t="str">
        <f>SUBSTITUTE(SUBSTITUTE(IF(Table4[[#This Row],[spirit]]="", "", Table4[[#This Row],[rule_name_pfx]] &amp; IF(Table4[[#This Row],[spirit]]="undef", "", Table4[[#This Row],[spirit]])), ".", "_"), "-", "_")</f>
        <v/>
      </c>
      <c r="J8" s="75"/>
      <c r="K8" s="75"/>
      <c r="L8" s="93"/>
      <c r="M8" s="91"/>
      <c r="N8" s="47"/>
      <c r="O8" s="47"/>
      <c r="P8" s="35"/>
      <c r="Q8" s="35"/>
      <c r="R8" s="80" t="b">
        <f>OR( Table4[[#This Row],[use]] = "", Table4[[#This Row],[use]] = "custom", Table4[[#This Row],[use]] = "alternate" )</f>
        <v>1</v>
      </c>
      <c r="S8" s="80" t="str">
        <f>re_surround(1,,"'", "'",  Table4[[#This Row],[re_escaped]])</f>
        <v/>
      </c>
      <c r="T8" s="80" t="str">
        <f>SUBSTITUTE(Table4[[#This Row],[regex]], "\", "\\")</f>
        <v/>
      </c>
      <c r="U8" s="81" t="str">
        <f t="shared" si="2"/>
        <v>|</v>
      </c>
      <c r="V8" s="80" t="str">
        <f>IFx(Table4[[#This Row],[noCalc]],"", IFx(Table4[[#This Row],[reSpan]], re_group( V$4, , Table4[[#This Row],[before]] &amp; Table4[[#This Row],[reSpan]] &amp; Table4[[#This Row],[after]])))</f>
        <v/>
      </c>
      <c r="W8" s="80" t="str">
        <f>IF(Table4[[#This Row],[noCalc]], "", re_group( T$4, , re_tag_before ))</f>
        <v/>
      </c>
      <c r="X8" s="47" t="str">
        <f>IFx( Table4[[#This Row],[noCalc]], "", IFx(  Table4[[#This Row],[reHashRef]], re_group(X$4,, Table4[[#This Row],[begin]] &amp; Table4[[#This Row],[reHashRef]] &amp; Table4[[#This Row],[end]])))</f>
        <v/>
      </c>
      <c r="Y8" s="47" t="str">
        <f>re_group(Y$4,, Table4[[#This Row],[rePrelude]])</f>
        <v/>
      </c>
      <c r="Z8" s="82" t="str">
        <f>IFx(Table4[[#This Row],[noCalc]], "", IFx(Table4[[#This Row],[reSpiritSymbolChars]], re_group(  Z$4,,  Table4[[#This Row],[reSpiritDesignator]] &amp; Table4[[#This Row],[reLevel]])))</f>
        <v/>
      </c>
      <c r="AA8" s="80" t="str">
        <f>IFx( Table4[[#This Row],[noCalc]], "", IFx(Table4[[#This Row],[reSpiritSymbolChars]], re_group(  AA$4,,  Table4[[#This Row],[reSpiritSymbol]]  &amp; Table4[[#This Row],[reSpiritSymbolQ]] ) ))</f>
        <v/>
      </c>
      <c r="AB8" s="47"/>
      <c r="AC8" s="47" t="str">
        <f>IFx( Table4[[#This Row],[noCalc]], "", IFx(Table4[[#This Row],[reSpiritSymbolChars]], re_group(  AC$4,, re_bracket(1,,  Table4[[#This Row],[reSpiritSymbolChars]]) )))</f>
        <v/>
      </c>
      <c r="AD8" s="35"/>
      <c r="AE8" s="87" t="str">
        <f>IF(Table4[[#This Row],[noCalc]], "",  IFx(Table4[[#This Row],[reLevelChars]],  re_group(  AE$4,,  re_group_no_capture( 1,, re_bracket(1,, Table4[[#This Row],[reLevelChars]])) &amp; "?")))</f>
        <v/>
      </c>
      <c r="AF8" s="47"/>
      <c r="AG8" s="47"/>
      <c r="AH8" s="47" t="str">
        <f>IFx(Table4[[#This Row],[noCalc]], "", IFx( Table4[[#This Row],[reRefType]], re_group( AH$4,,Table4[[#This Row],[reRefType]] &amp; Table4[[#This Row],[reLabel]])))</f>
        <v/>
      </c>
      <c r="AI8" s="80" t="str">
        <f xml:space="preserve"> re_group( AI$4,,  Table4[[#This Row],[reHashSymbol]] &amp; Table4[[#This Row],[ReHashSymbolQ]] )</f>
        <v/>
      </c>
      <c r="AJ8" s="83"/>
      <c r="AK8" s="84" t="str">
        <f>re_group( AK$4,, re_bracket(1,, Table4[[#This Row],[reHashChars]]))</f>
        <v/>
      </c>
      <c r="AL8" s="85"/>
      <c r="AM8" s="87" t="str">
        <f>IFx(Table4[[#This Row],[noCalc]], "", re_group( AM$4,, re_tag_label_simple))</f>
        <v/>
      </c>
      <c r="AN8" s="80" t="str">
        <f>IFx(Table4[[#This Row],[noCalc]], "", re_group( AN$4,, re_tag_tail))</f>
        <v/>
      </c>
      <c r="AO8" s="80" t="str">
        <f>IFx(Table4[[#This Row],[noCalc]], "", re_group( AL$4,, re_tag_after))</f>
        <v/>
      </c>
      <c r="AP8" s="6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</row>
    <row r="9" spans="2:66">
      <c r="B9" s="34" t="s">
        <v>217</v>
      </c>
      <c r="C9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9" s="74" t="str">
        <f>IFx( Table4[[#This Row],[rule_name]], _xlfn.TEXTJOIN(" ",, "{", "include:", "'#" &amp; Table4[[#This Row],[rule_name]] &amp; "'", "}"))</f>
        <v/>
      </c>
      <c r="E9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9" s="67" t="str">
        <f>IF(Table4[[#This Row],[spirit]]="", "", re_surround(1,, "'", "'", SUBSTITUTE(meta_subscope_mask, spirit_placeholder, Table4[[#This Row],[spirit]])))</f>
        <v/>
      </c>
      <c r="G9" s="67" t="str">
        <f>IF(Table4[[#This Row],[spirit]]="", "", re_surround(1,, "'", "'", SUBSTITUTE(markup_subscope_mask, spirit_placeholder, Table4[[#This Row],[spirit]])))</f>
        <v/>
      </c>
      <c r="H9" s="69" t="str">
        <f>IF(Table4[[#This Row],[spirit]]="", "",  re_surround(1,, "'", "'",SUBSTITUTE(dynamic_subscope_mask, spirit_placeholder, Table4[[#This Row],[spirit]])))</f>
        <v/>
      </c>
      <c r="I9" s="97" t="str">
        <f>SUBSTITUTE(SUBSTITUTE(IF(Table4[[#This Row],[spirit]]="", "", Table4[[#This Row],[rule_name_pfx]] &amp; IF(Table4[[#This Row],[spirit]]="undef", "", Table4[[#This Row],[spirit]])), ".", "_"), "-", "_")</f>
        <v/>
      </c>
      <c r="J9" s="74"/>
      <c r="K9" s="74"/>
      <c r="L9" s="94"/>
      <c r="M9" s="91"/>
      <c r="N9" s="47"/>
      <c r="O9" s="47"/>
      <c r="P9" s="35"/>
      <c r="Q9" s="35"/>
      <c r="R9" s="47" t="b">
        <f>OR( Table4[[#This Row],[use]] = "", Table4[[#This Row],[use]] = "custom", Table4[[#This Row],[use]] = "alternate" )</f>
        <v>1</v>
      </c>
      <c r="S9" s="47" t="str">
        <f>re_surround(1,,"'", "'",  Table4[[#This Row],[re_escaped]])</f>
        <v/>
      </c>
      <c r="T9" s="47" t="str">
        <f>SUBSTITUTE(Table4[[#This Row],[regex]], "\", "\\")</f>
        <v/>
      </c>
      <c r="U9" s="86" t="str">
        <f t="shared" si="2"/>
        <v>|</v>
      </c>
      <c r="V9" s="47" t="str">
        <f>IFx(Table4[[#This Row],[noCalc]],"", IFx(Table4[[#This Row],[reSpan]], re_group( V$4, , Table4[[#This Row],[before]] &amp; Table4[[#This Row],[reSpan]] &amp; Table4[[#This Row],[after]])))</f>
        <v/>
      </c>
      <c r="W9" s="87"/>
      <c r="X9" s="47" t="str">
        <f>IFx( Table4[[#This Row],[noCalc]], "", IFx(  Table4[[#This Row],[reHashRef]], re_group(X$4,, Table4[[#This Row],[begin]] &amp; Table4[[#This Row],[reHashRef]] &amp; Table4[[#This Row],[end]])))</f>
        <v/>
      </c>
      <c r="Y9" s="47" t="str">
        <f>re_group(Y$4,, Table4[[#This Row],[rePrelude]])</f>
        <v/>
      </c>
      <c r="Z9" s="87" t="str">
        <f>IFx(Table4[[#This Row],[noCalc]], "", IFx(Table4[[#This Row],[reSpiritSymbolChars]], re_group(  Z$4,,  Table4[[#This Row],[reSpiritDesignator]] &amp; Table4[[#This Row],[reLevel]])))</f>
        <v/>
      </c>
      <c r="AA9" s="87" t="str">
        <f>IFx( Table4[[#This Row],[noCalc]], "", IFx(Table4[[#This Row],[reSpiritSymbolChars]], re_group(  AA$4,,  Table4[[#This Row],[reSpiritSymbol]]  &amp; Table4[[#This Row],[reSpiritSymbolQ]] ) ))</f>
        <v/>
      </c>
      <c r="AB9" s="47"/>
      <c r="AC9" s="47" t="str">
        <f>IFx( Table4[[#This Row],[noCalc]], "", IFx(Table4[[#This Row],[reSpiritSymbolChars]], re_group(  AC$4,, re_bracket(1,,  Table4[[#This Row],[reSpiritSymbolChars]]) )))</f>
        <v/>
      </c>
      <c r="AD9" s="35"/>
      <c r="AE9" s="87" t="str">
        <f>IF(Table4[[#This Row],[noCalc]], "",  IFx(Table4[[#This Row],[reLevelChars]],  re_group(  AE$4,,  re_group_no_capture( 1,, re_bracket(1,, Table4[[#This Row],[reLevelChars]])) &amp; "?")))</f>
        <v/>
      </c>
      <c r="AF9" s="47"/>
      <c r="AG9" s="47"/>
      <c r="AH9" s="47" t="str">
        <f>IFx(Table4[[#This Row],[noCalc]], "", IFx( Table4[[#This Row],[reRefType]], re_group( AH$4,,Table4[[#This Row],[reRefType]] &amp; Table4[[#This Row],[reLabel]])))</f>
        <v/>
      </c>
      <c r="AI9" s="87" t="str">
        <f xml:space="preserve"> re_group( AI$4,,  Table4[[#This Row],[reHashSymbol]] &amp; Table4[[#This Row],[ReHashSymbolQ]] )</f>
        <v/>
      </c>
      <c r="AJ9" s="87" t="s">
        <v>138</v>
      </c>
      <c r="AK9" s="87" t="str">
        <f>re_group( AK$4,, re_bracket(1,, Table4[[#This Row],[reHashChars]]))</f>
        <v/>
      </c>
      <c r="AL9" s="87"/>
      <c r="AM9" s="87" t="str">
        <f>IFx(Table4[[#This Row],[noCalc]], "", re_group( AM$4,, re_tag_label_simple))</f>
        <v/>
      </c>
      <c r="AN9" s="47" t="str">
        <f>IFx(Table4[[#This Row],[noCalc]], "", re_group( AN$4,, re_tag_tail))</f>
        <v/>
      </c>
      <c r="AO9" s="47" t="str">
        <f>IFx(Table4[[#This Row],[noCalc]], "", re_group( AL$4,, re_tag_after))</f>
        <v/>
      </c>
      <c r="AP9" s="6" t="s">
        <v>138</v>
      </c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2:66" ht="23" customHeight="1">
      <c r="B10" s="48" t="s">
        <v>217</v>
      </c>
      <c r="C10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0" s="74" t="str">
        <f>IFx( Table4[[#This Row],[rule_name]], _xlfn.TEXTJOIN(" ",, "{", "include:", "'#" &amp; Table4[[#This Row],[rule_name]] &amp; "'", "}"))</f>
        <v/>
      </c>
      <c r="E10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0" s="67" t="str">
        <f>IF(Table4[[#This Row],[spirit]]="", "", re_surround(1,, "'", "'", SUBSTITUTE(meta_subscope_mask, spirit_placeholder, Table4[[#This Row],[spirit]])))</f>
        <v/>
      </c>
      <c r="G10" s="67" t="str">
        <f>IF(Table4[[#This Row],[spirit]]="", "", re_surround(1,, "'", "'", SUBSTITUTE(markup_subscope_mask, spirit_placeholder, Table4[[#This Row],[spirit]])))</f>
        <v/>
      </c>
      <c r="H10" s="69" t="str">
        <f>IF(Table4[[#This Row],[spirit]]="", "",  re_surround(1,, "'", "'",SUBSTITUTE(dynamic_subscope_mask, spirit_placeholder, Table4[[#This Row],[spirit]])))</f>
        <v/>
      </c>
      <c r="I10" s="97" t="str">
        <f>SUBSTITUTE(SUBSTITUTE(IF(Table4[[#This Row],[spirit]]="", "", Table4[[#This Row],[rule_name_pfx]] &amp; IF(Table4[[#This Row],[spirit]]="undef", "", Table4[[#This Row],[spirit]])), ".", "_"), "-", "_")</f>
        <v/>
      </c>
      <c r="J10" s="74"/>
      <c r="K10" s="74"/>
      <c r="L10" s="94"/>
      <c r="M10" s="91" t="s">
        <v>255</v>
      </c>
      <c r="N10" s="47" t="str">
        <f>"" &amp; IF( Table4[[#This Row],[use]] ="", "",  IFERROR(INDEX(TCfg, 0, MATCH(Table4[[#This Row],[use]], Table4[#Headers], 0)), ""))</f>
        <v>(?:!\w)</v>
      </c>
      <c r="O10" s="47" t="s">
        <v>266</v>
      </c>
      <c r="P10" s="35" t="s">
        <v>246</v>
      </c>
      <c r="Q10" s="35"/>
      <c r="R10" s="47" t="b">
        <f>OR( Table4[[#This Row],[use]] = "", Table4[[#This Row],[use]] = "custom", Table4[[#This Row],[use]] = "alternate" )</f>
        <v>1</v>
      </c>
      <c r="S10" s="47" t="str">
        <f>re_surround(1,,"'", "'",  Table4[[#This Row],[re_escaped]])</f>
        <v/>
      </c>
      <c r="T10" s="47" t="str">
        <f>SUBSTITUTE(Table4[[#This Row],[regex]], "\", "\\")</f>
        <v/>
      </c>
      <c r="U10" s="86" t="str">
        <f t="shared" si="2"/>
        <v>|</v>
      </c>
      <c r="V10" s="47" t="str">
        <f>IFx(Table4[[#This Row],[noCalc]],"", IFx(Table4[[#This Row],[reSpan]], re_group( V$4, , Table4[[#This Row],[before]] &amp; Table4[[#This Row],[reSpan]] &amp; Table4[[#This Row],[after]])))</f>
        <v/>
      </c>
      <c r="W10" s="87"/>
      <c r="X10" s="47" t="str">
        <f>IFx( Table4[[#This Row],[noCalc]], "", IFx(  Table4[[#This Row],[reHashRef]], re_group(X$4,, Table4[[#This Row],[begin]] &amp; Table4[[#This Row],[reHashRef]] &amp; Table4[[#This Row],[end]])))</f>
        <v/>
      </c>
      <c r="Y10" s="47" t="str">
        <f>re_group(Y$4,, Table4[[#This Row],[rePrelude]])</f>
        <v/>
      </c>
      <c r="Z10" s="87" t="str">
        <f>IFx(Table4[[#This Row],[noCalc]], "", IFx(Table4[[#This Row],[reSpiritSymbolChars]], re_group(  Z$4,,  Table4[[#This Row],[reSpiritDesignator]] &amp; Table4[[#This Row],[reLevel]])))</f>
        <v/>
      </c>
      <c r="AA10" s="87" t="str">
        <f>IFx( Table4[[#This Row],[noCalc]], "", IFx(Table4[[#This Row],[reSpiritSymbolChars]], re_group(  AA$4,,  Table4[[#This Row],[reSpiritSymbol]]  &amp; Table4[[#This Row],[reSpiritSymbolQ]] ) ))</f>
        <v/>
      </c>
      <c r="AB10" s="47"/>
      <c r="AC10" s="47" t="str">
        <f>IFx( Table4[[#This Row],[noCalc]], "", IFx(Table4[[#This Row],[reSpiritSymbolChars]], re_group(  AC$4,, re_bracket(1,,  Table4[[#This Row],[reSpiritSymbolChars]]) )))</f>
        <v/>
      </c>
      <c r="AD10" s="35"/>
      <c r="AE10" s="87" t="str">
        <f>IF(Table4[[#This Row],[noCalc]], "",  IFx(Table4[[#This Row],[reLevelChars]],  re_group(  AE$4,,  re_group_no_capture( 1,, re_bracket(1,, Table4[[#This Row],[reLevelChars]])) &amp; "?")))</f>
        <v/>
      </c>
      <c r="AF10" s="47"/>
      <c r="AG10" s="47"/>
      <c r="AH10" s="47" t="str">
        <f>IFx(Table4[[#This Row],[noCalc]], "", IFx( Table4[[#This Row],[reRefType]], re_group( AH$4,,Table4[[#This Row],[reRefType]] &amp; Table4[[#This Row],[reLabel]])))</f>
        <v/>
      </c>
      <c r="AI10" s="87" t="str">
        <f xml:space="preserve"> re_group( AI$4,,  Table4[[#This Row],[reHashSymbol]] &amp; Table4[[#This Row],[ReHashSymbolQ]] )</f>
        <v/>
      </c>
      <c r="AJ10" s="87" t="s">
        <v>138</v>
      </c>
      <c r="AK10" s="87" t="str">
        <f>re_group( AK$4,, re_bracket(1,, Table4[[#This Row],[reHashChars]]))</f>
        <v/>
      </c>
      <c r="AL10" s="87"/>
      <c r="AM10" s="87" t="str">
        <f>IFx(Table4[[#This Row],[noCalc]], "", re_group( AM$4,, re_tag_label_simple))</f>
        <v/>
      </c>
      <c r="AN10" s="47" t="str">
        <f>IFx(Table4[[#This Row],[noCalc]], "", re_group( AN$4,, re_tag_tail))</f>
        <v/>
      </c>
      <c r="AO10" s="47" t="str">
        <f>IFx(Table4[[#This Row],[noCalc]], "", re_group( AL$4,, re_tag_after))</f>
        <v/>
      </c>
      <c r="AP10" s="6" t="s">
        <v>138</v>
      </c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2:66">
      <c r="B11" s="48" t="s">
        <v>217</v>
      </c>
      <c r="C11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1" s="74" t="str">
        <f>IFx( Table4[[#This Row],[rule_name]], _xlfn.TEXTJOIN(" ",, "{", "include:", "'#" &amp; Table4[[#This Row],[rule_name]] &amp; "'", "}"))</f>
        <v/>
      </c>
      <c r="E11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1" s="67" t="str">
        <f>IF(Table4[[#This Row],[spirit]]="", "", re_surround(1,, "'", "'", SUBSTITUTE(meta_subscope_mask, spirit_placeholder, Table4[[#This Row],[spirit]])))</f>
        <v/>
      </c>
      <c r="G11" s="67" t="str">
        <f>IF(Table4[[#This Row],[spirit]]="", "", re_surround(1,, "'", "'", SUBSTITUTE(markup_subscope_mask, spirit_placeholder, Table4[[#This Row],[spirit]])))</f>
        <v/>
      </c>
      <c r="H11" s="69" t="str">
        <f>IF(Table4[[#This Row],[spirit]]="", "",  re_surround(1,, "'", "'",SUBSTITUTE(dynamic_subscope_mask, spirit_placeholder, Table4[[#This Row],[spirit]])))</f>
        <v/>
      </c>
      <c r="I11" s="97" t="str">
        <f>SUBSTITUTE(SUBSTITUTE(IF(Table4[[#This Row],[spirit]]="", "", Table4[[#This Row],[rule_name_pfx]] &amp; IF(Table4[[#This Row],[spirit]]="undef", "", Table4[[#This Row],[spirit]])), ".", "_"), "-", "_")</f>
        <v/>
      </c>
      <c r="J11" s="74"/>
      <c r="K11" s="74"/>
      <c r="L11" s="94"/>
      <c r="M11" s="91" t="s">
        <v>218</v>
      </c>
      <c r="N11" s="47" t="str">
        <f>"" &amp; IF( Table4[[#This Row],[use]] ="", "",  IFERROR(INDEX(TCfg, 0, MATCH(Table4[[#This Row],[use]], Table4[#Headers], 0)), ""))</f>
        <v>\b</v>
      </c>
      <c r="O11" s="47" t="s">
        <v>266</v>
      </c>
      <c r="P11" s="35" t="s">
        <v>247</v>
      </c>
      <c r="Q11" s="35"/>
      <c r="R11" s="47" t="b">
        <f>OR( Table4[[#This Row],[use]] = "", Table4[[#This Row],[use]] = "custom", Table4[[#This Row],[use]] = "alternate" )</f>
        <v>1</v>
      </c>
      <c r="S11" s="47" t="str">
        <f>re_surround(1,,"'", "'",  Table4[[#This Row],[re_escaped]])</f>
        <v/>
      </c>
      <c r="T11" s="47" t="str">
        <f>SUBSTITUTE(Table4[[#This Row],[regex]], "\", "\\")</f>
        <v/>
      </c>
      <c r="U11" s="86" t="str">
        <f t="shared" si="2"/>
        <v>|</v>
      </c>
      <c r="V11" s="47" t="str">
        <f>IFx(Table4[[#This Row],[noCalc]],"", IFx(Table4[[#This Row],[reSpan]], re_group( V$4, , Table4[[#This Row],[before]] &amp; Table4[[#This Row],[reSpan]] &amp; Table4[[#This Row],[after]])))</f>
        <v/>
      </c>
      <c r="W11" s="87"/>
      <c r="X11" s="47" t="str">
        <f>IFx( Table4[[#This Row],[noCalc]], "", IFx(  Table4[[#This Row],[reHashRef]], re_group(X$4,, Table4[[#This Row],[begin]] &amp; Table4[[#This Row],[reHashRef]] &amp; Table4[[#This Row],[end]])))</f>
        <v/>
      </c>
      <c r="Y11" s="47" t="str">
        <f>re_group(Y$4,, Table4[[#This Row],[rePrelude]])</f>
        <v/>
      </c>
      <c r="Z11" s="87" t="str">
        <f>IFx(Table4[[#This Row],[noCalc]], "", IFx(Table4[[#This Row],[reSpiritSymbolChars]], re_group(  Z$4,,  Table4[[#This Row],[reSpiritDesignator]] &amp; Table4[[#This Row],[reLevel]])))</f>
        <v/>
      </c>
      <c r="AA11" s="87" t="str">
        <f>IFx( Table4[[#This Row],[noCalc]], "", IFx(Table4[[#This Row],[reSpiritSymbolChars]], re_group(  AA$4,,  Table4[[#This Row],[reSpiritSymbol]]  &amp; Table4[[#This Row],[reSpiritSymbolQ]] ) ))</f>
        <v/>
      </c>
      <c r="AB11" s="47"/>
      <c r="AC11" s="47" t="str">
        <f>IFx( Table4[[#This Row],[noCalc]], "", IFx(Table4[[#This Row],[reSpiritSymbolChars]], re_group(  AC$4,, re_bracket(1,,  Table4[[#This Row],[reSpiritSymbolChars]]) )))</f>
        <v/>
      </c>
      <c r="AD11" s="35"/>
      <c r="AE11" s="87" t="str">
        <f>IF(Table4[[#This Row],[noCalc]], "",  IFx(Table4[[#This Row],[reLevelChars]],  re_group(  AE$4,,  re_group_no_capture( 1,, re_bracket(1,, Table4[[#This Row],[reLevelChars]])) &amp; "?")))</f>
        <v/>
      </c>
      <c r="AF11" s="47"/>
      <c r="AG11" s="47"/>
      <c r="AH11" s="47" t="str">
        <f>IFx(Table4[[#This Row],[noCalc]], "", IFx( Table4[[#This Row],[reRefType]], re_group( AH$4,,Table4[[#This Row],[reRefType]] &amp; Table4[[#This Row],[reLabel]])))</f>
        <v/>
      </c>
      <c r="AI11" s="87" t="str">
        <f xml:space="preserve"> re_group( AI$4,,  Table4[[#This Row],[reHashSymbol]] &amp; Table4[[#This Row],[ReHashSymbolQ]] )</f>
        <v/>
      </c>
      <c r="AJ11" s="87" t="s">
        <v>138</v>
      </c>
      <c r="AK11" s="87" t="str">
        <f>re_group( AK$4,, re_bracket(1,, Table4[[#This Row],[reHashChars]]))</f>
        <v/>
      </c>
      <c r="AL11" s="87"/>
      <c r="AM11" s="87" t="str">
        <f>IFx(Table4[[#This Row],[noCalc]], "", re_group( AM$4,, re_tag_label_simple))</f>
        <v/>
      </c>
      <c r="AN11" s="47" t="str">
        <f>IFx(Table4[[#This Row],[noCalc]], "", re_group( AN$4,, re_tag_tail))</f>
        <v/>
      </c>
      <c r="AO11" s="47" t="str">
        <f>IFx(Table4[[#This Row],[noCalc]], "", re_group( AL$4,, re_tag_after))</f>
        <v/>
      </c>
      <c r="AP11" s="6" t="s">
        <v>138</v>
      </c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2:66">
      <c r="B12" s="48" t="s">
        <v>217</v>
      </c>
      <c r="C12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2" s="74" t="str">
        <f>IFx( Table4[[#This Row],[rule_name]], _xlfn.TEXTJOIN(" ",, "{", "include:", "'#" &amp; Table4[[#This Row],[rule_name]] &amp; "'", "}"))</f>
        <v/>
      </c>
      <c r="E12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2" s="67" t="str">
        <f>IF(Table4[[#This Row],[spirit]]="", "", re_surround(1,, "'", "'", SUBSTITUTE(meta_subscope_mask, spirit_placeholder, Table4[[#This Row],[spirit]])))</f>
        <v/>
      </c>
      <c r="G12" s="67" t="str">
        <f>IF(Table4[[#This Row],[spirit]]="", "", re_surround(1,, "'", "'", SUBSTITUTE(markup_subscope_mask, spirit_placeholder, Table4[[#This Row],[spirit]])))</f>
        <v/>
      </c>
      <c r="H12" s="69" t="str">
        <f>IF(Table4[[#This Row],[spirit]]="", "",  re_surround(1,, "'", "'",SUBSTITUTE(dynamic_subscope_mask, spirit_placeholder, Table4[[#This Row],[spirit]])))</f>
        <v/>
      </c>
      <c r="I12" s="97" t="str">
        <f>SUBSTITUTE(SUBSTITUTE(IF(Table4[[#This Row],[spirit]]="", "", Table4[[#This Row],[rule_name_pfx]] &amp; IF(Table4[[#This Row],[spirit]]="undef", "", Table4[[#This Row],[spirit]])), ".", "_"), "-", "_")</f>
        <v/>
      </c>
      <c r="J12" s="74"/>
      <c r="K12" s="74"/>
      <c r="L12" s="94"/>
      <c r="M12" s="91"/>
      <c r="N12" s="47" t="str">
        <f>"" &amp; IF( Table4[[#This Row],[use]] ="", "",  IFERROR(INDEX(TCfg, 0, MATCH(Table4[[#This Row],[use]], Table4[#Headers], 0)), ""))</f>
        <v/>
      </c>
      <c r="O12" s="47"/>
      <c r="P12" s="35"/>
      <c r="Q12" s="35"/>
      <c r="R12" s="47" t="b">
        <f>OR( Table4[[#This Row],[use]] = "", Table4[[#This Row],[use]] = "custom", Table4[[#This Row],[use]] = "alternate" )</f>
        <v>1</v>
      </c>
      <c r="S12" s="47" t="str">
        <f>re_surround(1,,"'", "'",  Table4[[#This Row],[re_escaped]])</f>
        <v/>
      </c>
      <c r="T12" s="47" t="str">
        <f>SUBSTITUTE(Table4[[#This Row],[regex]], "\", "\\")</f>
        <v/>
      </c>
      <c r="U12" s="86" t="str">
        <f t="shared" si="2"/>
        <v>|</v>
      </c>
      <c r="V12" s="47" t="str">
        <f>IFx(Table4[[#This Row],[noCalc]],"", IFx(Table4[[#This Row],[reSpan]], re_group( V$4, , Table4[[#This Row],[before]] &amp; Table4[[#This Row],[reSpan]] &amp; Table4[[#This Row],[after]])))</f>
        <v/>
      </c>
      <c r="W12" s="87"/>
      <c r="X12" s="47" t="str">
        <f>IFx( Table4[[#This Row],[noCalc]], "", IFx(  Table4[[#This Row],[reHashRef]], re_group(X$4,, Table4[[#This Row],[begin]] &amp; Table4[[#This Row],[reHashRef]] &amp; Table4[[#This Row],[end]])))</f>
        <v/>
      </c>
      <c r="Y12" s="47" t="str">
        <f>re_group(Y$4,, Table4[[#This Row],[rePrelude]])</f>
        <v/>
      </c>
      <c r="Z12" s="87" t="str">
        <f>IFx(Table4[[#This Row],[noCalc]], "", IFx(Table4[[#This Row],[reSpiritSymbolChars]], re_group(  Z$4,,  Table4[[#This Row],[reSpiritDesignator]] &amp; Table4[[#This Row],[reLevel]])))</f>
        <v/>
      </c>
      <c r="AA12" s="87" t="str">
        <f>IFx( Table4[[#This Row],[noCalc]], "", IFx(Table4[[#This Row],[reSpiritSymbolChars]], re_group(  AA$4,,  Table4[[#This Row],[reSpiritSymbol]]  &amp; Table4[[#This Row],[reSpiritSymbolQ]] ) ))</f>
        <v/>
      </c>
      <c r="AB12" s="47"/>
      <c r="AC12" s="47" t="str">
        <f>IFx( Table4[[#This Row],[noCalc]], "", IFx(Table4[[#This Row],[reSpiritSymbolChars]], re_group(  AC$4,, re_bracket(1,,  Table4[[#This Row],[reSpiritSymbolChars]]) )))</f>
        <v/>
      </c>
      <c r="AD12" s="35"/>
      <c r="AE12" s="87" t="str">
        <f>IF(Table4[[#This Row],[noCalc]], "",  IFx(Table4[[#This Row],[reLevelChars]],  re_group(  AE$4,,  re_group_no_capture( 1,, re_bracket(1,, Table4[[#This Row],[reLevelChars]])) &amp; "?")))</f>
        <v/>
      </c>
      <c r="AF12" s="47"/>
      <c r="AG12" s="47"/>
      <c r="AH12" s="47" t="str">
        <f>IFx(Table4[[#This Row],[noCalc]], "", IFx( Table4[[#This Row],[reRefType]], re_group( AH$4,,Table4[[#This Row],[reRefType]] &amp; Table4[[#This Row],[reLabel]])))</f>
        <v/>
      </c>
      <c r="AI12" s="87" t="str">
        <f xml:space="preserve"> re_group( AI$4,,  Table4[[#This Row],[reHashSymbol]] &amp; Table4[[#This Row],[ReHashSymbolQ]] )</f>
        <v/>
      </c>
      <c r="AJ12" s="87" t="s">
        <v>138</v>
      </c>
      <c r="AK12" s="87" t="str">
        <f>re_group( AK$4,, re_bracket(1,, Table4[[#This Row],[reHashChars]]))</f>
        <v/>
      </c>
      <c r="AL12" s="87"/>
      <c r="AM12" s="87" t="str">
        <f>IFx(Table4[[#This Row],[noCalc]], "", re_group( AM$4,, re_tag_label_simple))</f>
        <v/>
      </c>
      <c r="AN12" s="47" t="str">
        <f>IFx(Table4[[#This Row],[noCalc]], "", re_group( AN$4,, re_tag_tail))</f>
        <v/>
      </c>
      <c r="AO12" s="47" t="str">
        <f>IFx(Table4[[#This Row],[noCalc]], "", re_group( AL$4,, re_tag_after))</f>
        <v/>
      </c>
      <c r="AP12" s="6" t="s">
        <v>138</v>
      </c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2:66">
      <c r="B13" s="34" t="s">
        <v>73</v>
      </c>
      <c r="C13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3" s="74" t="str">
        <f>IFx( Table4[[#This Row],[rule_name]], _xlfn.TEXTJOIN(" ",, "{", "include:", "'#" &amp; Table4[[#This Row],[rule_name]] &amp; "'", "}"))</f>
        <v/>
      </c>
      <c r="E13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3" s="67" t="str">
        <f>IF(Table4[[#This Row],[spirit]]="", "", re_surround(1,, "'", "'", SUBSTITUTE(meta_subscope_mask, spirit_placeholder, Table4[[#This Row],[spirit]])))</f>
        <v/>
      </c>
      <c r="G13" s="67" t="str">
        <f>IF(Table4[[#This Row],[spirit]]="", "", re_surround(1,, "'", "'", SUBSTITUTE(markup_subscope_mask, spirit_placeholder, Table4[[#This Row],[spirit]])))</f>
        <v/>
      </c>
      <c r="H13" s="69" t="str">
        <f>IF(Table4[[#This Row],[spirit]]="", "",  re_surround(1,, "'", "'",SUBSTITUTE(dynamic_subscope_mask, spirit_placeholder, Table4[[#This Row],[spirit]])))</f>
        <v/>
      </c>
      <c r="I13" s="97" t="str">
        <f>SUBSTITUTE(SUBSTITUTE(IF(Table4[[#This Row],[spirit]]="", "", Table4[[#This Row],[rule_name_pfx]] &amp; IF(Table4[[#This Row],[spirit]]="undef", "", Table4[[#This Row],[spirit]])), ".", "_"), "-", "_")</f>
        <v/>
      </c>
      <c r="J13" s="74"/>
      <c r="K13" s="74"/>
      <c r="L13" s="94"/>
      <c r="M13" s="91"/>
      <c r="N13" s="47" t="str">
        <f>"" &amp; IF( Table4[[#This Row],[use]] ="", "",  IFERROR(INDEX(TCfg, 0, MATCH(Table4[[#This Row],[use]], Table4[#Headers], 0)), ""))</f>
        <v/>
      </c>
      <c r="O13" s="47"/>
      <c r="P13" s="35"/>
      <c r="Q13" s="35"/>
      <c r="R13" s="47" t="b">
        <f>OR( Table4[[#This Row],[use]] = "", Table4[[#This Row],[use]] = "custom", Table4[[#This Row],[use]] = "alternate" )</f>
        <v>1</v>
      </c>
      <c r="S13" s="47" t="str">
        <f>re_surround(1,,"'", "'",  Table4[[#This Row],[re_escaped]])</f>
        <v/>
      </c>
      <c r="T13" s="47" t="str">
        <f>SUBSTITUTE(Table4[[#This Row],[regex]], "\", "\\")</f>
        <v/>
      </c>
      <c r="U13" s="86" t="str">
        <f t="shared" si="2"/>
        <v>|</v>
      </c>
      <c r="V13" s="47" t="str">
        <f>IFx(Table4[[#This Row],[noCalc]],"", IFx(Table4[[#This Row],[reSpan]], re_group( V$4, , Table4[[#This Row],[before]] &amp; Table4[[#This Row],[reSpan]] &amp; Table4[[#This Row],[after]])))</f>
        <v/>
      </c>
      <c r="W13" s="87"/>
      <c r="X13" s="47" t="str">
        <f>IFx( Table4[[#This Row],[noCalc]], "", IFx(  Table4[[#This Row],[reHashRef]], re_group(X$4,, Table4[[#This Row],[begin]] &amp; Table4[[#This Row],[reHashRef]] &amp; Table4[[#This Row],[end]])))</f>
        <v/>
      </c>
      <c r="Y13" s="47" t="str">
        <f>re_group(Y$4,, Table4[[#This Row],[rePrelude]])</f>
        <v/>
      </c>
      <c r="Z13" s="87" t="str">
        <f>IFx(Table4[[#This Row],[noCalc]], "", IFx(Table4[[#This Row],[reSpiritSymbolChars]], re_group(  Z$4,,  Table4[[#This Row],[reSpiritDesignator]] &amp; Table4[[#This Row],[reLevel]])))</f>
        <v/>
      </c>
      <c r="AA13" s="87" t="str">
        <f>IFx( Table4[[#This Row],[noCalc]], "", IFx(Table4[[#This Row],[reSpiritSymbolChars]], re_group(  AA$4,,  Table4[[#This Row],[reSpiritSymbol]]  &amp; Table4[[#This Row],[reSpiritSymbolQ]] ) ))</f>
        <v/>
      </c>
      <c r="AB13" s="47"/>
      <c r="AC13" s="47" t="str">
        <f>IFx( Table4[[#This Row],[noCalc]], "", IFx(Table4[[#This Row],[reSpiritSymbolChars]], re_group(  AC$4,, re_bracket(1,,  Table4[[#This Row],[reSpiritSymbolChars]]) )))</f>
        <v/>
      </c>
      <c r="AD13" s="35"/>
      <c r="AE13" s="87" t="str">
        <f>IF(Table4[[#This Row],[noCalc]], "",  IFx(Table4[[#This Row],[reLevelChars]],  re_group(  AE$4,,  re_group_no_capture( 1,, re_bracket(1,, Table4[[#This Row],[reLevelChars]])) &amp; "?")))</f>
        <v/>
      </c>
      <c r="AF13" s="47"/>
      <c r="AG13" s="47"/>
      <c r="AH13" s="47" t="str">
        <f>IFx(Table4[[#This Row],[noCalc]], "", IFx( Table4[[#This Row],[reRefType]], re_group( AH$4,,Table4[[#This Row],[reRefType]] &amp; Table4[[#This Row],[reLabel]])))</f>
        <v/>
      </c>
      <c r="AI13" s="87" t="str">
        <f xml:space="preserve"> re_group( AI$4,,  Table4[[#This Row],[reHashSymbol]] &amp; Table4[[#This Row],[ReHashSymbolQ]] )</f>
        <v/>
      </c>
      <c r="AJ13" s="87" t="s">
        <v>138</v>
      </c>
      <c r="AK13" s="87" t="str">
        <f>re_group( AK$4,, re_bracket(1,, Table4[[#This Row],[reHashChars]]))</f>
        <v/>
      </c>
      <c r="AL13" s="87"/>
      <c r="AM13" s="87" t="str">
        <f>IFx(Table4[[#This Row],[noCalc]], "", re_group( AM$4,, re_tag_label_simple))</f>
        <v/>
      </c>
      <c r="AN13" s="47" t="str">
        <f>IFx(Table4[[#This Row],[noCalc]], "", re_group( AN$4,, re_tag_tail))</f>
        <v/>
      </c>
      <c r="AO13" s="47" t="str">
        <f>IFx(Table4[[#This Row],[noCalc]], "", re_group( AL$4,, re_tag_after))</f>
        <v/>
      </c>
      <c r="AP13" s="6" t="s">
        <v>138</v>
      </c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2:66" ht="22" customHeight="1">
      <c r="B14" s="48" t="s">
        <v>73</v>
      </c>
      <c r="C14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4" s="74" t="str">
        <f>IFx( Table4[[#This Row],[rule_name]], _xlfn.TEXTJOIN(" ",, "{", "include:", "'#" &amp; Table4[[#This Row],[rule_name]] &amp; "'", "}"))</f>
        <v/>
      </c>
      <c r="E14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4" s="67" t="str">
        <f>IF(Table4[[#This Row],[spirit]]="", "", re_surround(1,, "'", "'", SUBSTITUTE(meta_subscope_mask, spirit_placeholder, Table4[[#This Row],[spirit]])))</f>
        <v/>
      </c>
      <c r="G14" s="67" t="str">
        <f>IF(Table4[[#This Row],[spirit]]="", "", re_surround(1,, "'", "'", SUBSTITUTE(markup_subscope_mask, spirit_placeholder, Table4[[#This Row],[spirit]])))</f>
        <v/>
      </c>
      <c r="H14" s="69" t="str">
        <f>IF(Table4[[#This Row],[spirit]]="", "",  re_surround(1,, "'", "'",SUBSTITUTE(dynamic_subscope_mask, spirit_placeholder, Table4[[#This Row],[spirit]])))</f>
        <v/>
      </c>
      <c r="I14" s="97" t="str">
        <f>SUBSTITUTE(SUBSTITUTE(IF(Table4[[#This Row],[spirit]]="", "", Table4[[#This Row],[rule_name_pfx]] &amp; IF(Table4[[#This Row],[spirit]]="undef", "", Table4[[#This Row],[spirit]])), ".", "_"), "-", "_")</f>
        <v/>
      </c>
      <c r="J14" s="74"/>
      <c r="K14" s="74"/>
      <c r="L14" s="94"/>
      <c r="M14" s="91" t="s">
        <v>72</v>
      </c>
      <c r="N14" s="47" t="str">
        <f>"" &amp; IF( Table4[[#This Row],[use]] ="", "",  IFERROR(INDEX(TCfg, 0, MATCH(Table4[[#This Row],[use]], Table4[#Headers], 0)), ""))</f>
        <v>\w*[0-9a-zA-Z_]+\w*[0-9a-zA-Z_]</v>
      </c>
      <c r="O14" s="47" t="s">
        <v>266</v>
      </c>
      <c r="P14" s="35" t="s">
        <v>254</v>
      </c>
      <c r="Q14" s="35"/>
      <c r="R14" s="47" t="b">
        <f>OR( Table4[[#This Row],[use]] = "", Table4[[#This Row],[use]] = "custom", Table4[[#This Row],[use]] = "alternate" )</f>
        <v>1</v>
      </c>
      <c r="S14" s="47" t="str">
        <f>re_surround(1,,"'", "'",  Table4[[#This Row],[re_escaped]])</f>
        <v/>
      </c>
      <c r="T14" s="47" t="str">
        <f>SUBSTITUTE(Table4[[#This Row],[regex]], "\", "\\")</f>
        <v/>
      </c>
      <c r="U14" s="86" t="str">
        <f t="shared" si="2"/>
        <v>|</v>
      </c>
      <c r="V14" s="47" t="str">
        <f>IFx(Table4[[#This Row],[noCalc]],"", IFx(Table4[[#This Row],[reSpan]], re_group( V$4, , Table4[[#This Row],[before]] &amp; Table4[[#This Row],[reSpan]] &amp; Table4[[#This Row],[after]])))</f>
        <v/>
      </c>
      <c r="W14" s="87"/>
      <c r="X14" s="47" t="str">
        <f>IFx( Table4[[#This Row],[noCalc]], "", IFx(  Table4[[#This Row],[reHashRef]], re_group(X$4,, Table4[[#This Row],[begin]] &amp; Table4[[#This Row],[reHashRef]] &amp; Table4[[#This Row],[end]])))</f>
        <v/>
      </c>
      <c r="Y14" s="47" t="str">
        <f>re_group(Y$4,, Table4[[#This Row],[rePrelude]])</f>
        <v/>
      </c>
      <c r="Z14" s="87" t="str">
        <f>IFx(Table4[[#This Row],[noCalc]], "", IFx(Table4[[#This Row],[reSpiritSymbolChars]], re_group(  Z$4,,  Table4[[#This Row],[reSpiritDesignator]] &amp; Table4[[#This Row],[reLevel]])))</f>
        <v/>
      </c>
      <c r="AA14" s="87" t="str">
        <f>IFx( Table4[[#This Row],[noCalc]], "", IFx(Table4[[#This Row],[reSpiritSymbolChars]], re_group(  AA$4,,  Table4[[#This Row],[reSpiritSymbol]]  &amp; Table4[[#This Row],[reSpiritSymbolQ]] ) ))</f>
        <v/>
      </c>
      <c r="AB14" s="88"/>
      <c r="AC14" s="88" t="str">
        <f>IFx( Table4[[#This Row],[noCalc]], "", IFx(Table4[[#This Row],[reSpiritSymbolChars]], re_group(  AC$4,, re_bracket(1,,  Table4[[#This Row],[reSpiritSymbolChars]]) )))</f>
        <v/>
      </c>
      <c r="AD14" s="36"/>
      <c r="AE14" s="87" t="str">
        <f>IF(Table4[[#This Row],[noCalc]], "",  IFx(Table4[[#This Row],[reLevelChars]],  re_group(  AE$4,,  re_group_no_capture( 1,, re_bracket(1,, Table4[[#This Row],[reLevelChars]])) &amp; "?")))</f>
        <v/>
      </c>
      <c r="AF14" s="88"/>
      <c r="AG14" s="88"/>
      <c r="AH14" s="47" t="str">
        <f>IFx(Table4[[#This Row],[noCalc]], "", IFx( Table4[[#This Row],[reRefType]], re_group( AH$4,,Table4[[#This Row],[reRefType]] &amp; Table4[[#This Row],[reLabel]])))</f>
        <v/>
      </c>
      <c r="AI14" s="87" t="str">
        <f xml:space="preserve"> re_group( AI$4,,  Table4[[#This Row],[reHashSymbol]] &amp; Table4[[#This Row],[ReHashSymbolQ]] )</f>
        <v/>
      </c>
      <c r="AJ14" s="87" t="s">
        <v>138</v>
      </c>
      <c r="AK14" s="87" t="str">
        <f>re_group( AK$4,, re_bracket(1,, Table4[[#This Row],[reHashChars]]))</f>
        <v/>
      </c>
      <c r="AL14" s="87"/>
      <c r="AM14" s="87" t="str">
        <f>IFx(Table4[[#This Row],[noCalc]], "", re_group( AM$4,, re_tag_label_simple))</f>
        <v/>
      </c>
      <c r="AN14" s="47" t="str">
        <f>IFx(Table4[[#This Row],[noCalc]], "", re_group( AN$4,, re_tag_tail))</f>
        <v/>
      </c>
      <c r="AO14" s="47" t="str">
        <f>IFx(Table4[[#This Row],[noCalc]], "", re_group( AL$4,, re_tag_after))</f>
        <v/>
      </c>
      <c r="AP14" s="6" t="s">
        <v>138</v>
      </c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2:66">
      <c r="B15" s="48" t="s">
        <v>73</v>
      </c>
      <c r="C15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5" s="74" t="str">
        <f>IFx( Table4[[#This Row],[rule_name]], _xlfn.TEXTJOIN(" ",, "{", "include:", "'#" &amp; Table4[[#This Row],[rule_name]] &amp; "'", "}"))</f>
        <v/>
      </c>
      <c r="E15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5" s="67" t="str">
        <f>IF(Table4[[#This Row],[spirit]]="", "", re_surround(1,, "'", "'", SUBSTITUTE(meta_subscope_mask, spirit_placeholder, Table4[[#This Row],[spirit]])))</f>
        <v/>
      </c>
      <c r="G15" s="67" t="str">
        <f>IF(Table4[[#This Row],[spirit]]="", "", re_surround(1,, "'", "'", SUBSTITUTE(markup_subscope_mask, spirit_placeholder, Table4[[#This Row],[spirit]])))</f>
        <v/>
      </c>
      <c r="H15" s="69" t="str">
        <f>IF(Table4[[#This Row],[spirit]]="", "",  re_surround(1,, "'", "'",SUBSTITUTE(dynamic_subscope_mask, spirit_placeholder, Table4[[#This Row],[spirit]])))</f>
        <v/>
      </c>
      <c r="I15" s="97" t="str">
        <f>SUBSTITUTE(SUBSTITUTE(IF(Table4[[#This Row],[spirit]]="", "", Table4[[#This Row],[rule_name_pfx]] &amp; IF(Table4[[#This Row],[spirit]]="undef", "", Table4[[#This Row],[spirit]])), ".", "_"), "-", "_")</f>
        <v/>
      </c>
      <c r="J15" s="74"/>
      <c r="K15" s="74"/>
      <c r="L15" s="94"/>
      <c r="M15" s="91" t="s">
        <v>252</v>
      </c>
      <c r="N15" s="47" t="str">
        <f>"" &amp; IF( Table4[[#This Row],[use]] ="", "",  IFERROR(INDEX(TCfg, 0, MATCH(Table4[[#This Row],[use]], Table4[#Headers], 0)), ""))</f>
        <v>[#@]</v>
      </c>
      <c r="O15" s="47" t="s">
        <v>266</v>
      </c>
      <c r="P15" s="35" t="s">
        <v>268</v>
      </c>
      <c r="Q15" s="35"/>
      <c r="R15" s="47" t="b">
        <f>OR( Table4[[#This Row],[use]] = "", Table4[[#This Row],[use]] = "custom", Table4[[#This Row],[use]] = "alternate" )</f>
        <v>1</v>
      </c>
      <c r="S15" s="47" t="str">
        <f>re_surround(1,,"'", "'",  Table4[[#This Row],[re_escaped]])</f>
        <v/>
      </c>
      <c r="T15" s="47" t="str">
        <f>SUBSTITUTE(Table4[[#This Row],[regex]], "\", "\\")</f>
        <v/>
      </c>
      <c r="U15" s="86" t="str">
        <f t="shared" si="2"/>
        <v>|</v>
      </c>
      <c r="V15" s="47" t="str">
        <f>IFx(Table4[[#This Row],[noCalc]],"", IFx(Table4[[#This Row],[reSpan]], re_group( V$4, , Table4[[#This Row],[before]] &amp; Table4[[#This Row],[reSpan]] &amp; Table4[[#This Row],[after]])))</f>
        <v/>
      </c>
      <c r="W15" s="87"/>
      <c r="X15" s="47" t="str">
        <f>IFx( Table4[[#This Row],[noCalc]], "", IFx(  Table4[[#This Row],[reHashRef]], re_group(X$4,, Table4[[#This Row],[begin]] &amp; Table4[[#This Row],[reHashRef]] &amp; Table4[[#This Row],[end]])))</f>
        <v/>
      </c>
      <c r="Y15" s="47" t="str">
        <f>re_group(Y$4,, Table4[[#This Row],[rePrelude]])</f>
        <v/>
      </c>
      <c r="Z15" s="87" t="str">
        <f>IFx(Table4[[#This Row],[noCalc]], "", IFx(Table4[[#This Row],[reSpiritSymbolChars]], re_group(  Z$4,,  Table4[[#This Row],[reSpiritDesignator]] &amp; Table4[[#This Row],[reLevel]])))</f>
        <v/>
      </c>
      <c r="AA15" s="87" t="str">
        <f>IFx( Table4[[#This Row],[noCalc]], "", IFx(Table4[[#This Row],[reSpiritSymbolChars]], re_group(  AA$4,,  Table4[[#This Row],[reSpiritSymbol]]  &amp; Table4[[#This Row],[reSpiritSymbolQ]] ) ))</f>
        <v/>
      </c>
      <c r="AB15" s="87"/>
      <c r="AC15" s="87" t="str">
        <f>IFx( Table4[[#This Row],[noCalc]], "", IFx(Table4[[#This Row],[reSpiritSymbolChars]], re_group(  AC$4,, re_bracket(1,,  Table4[[#This Row],[reSpiritSymbolChars]]) )))</f>
        <v/>
      </c>
      <c r="AD15" s="35"/>
      <c r="AE15" s="87" t="str">
        <f>IF(Table4[[#This Row],[noCalc]], "",  IFx(Table4[[#This Row],[reLevelChars]],  re_group(  AE$4,,  re_group_no_capture( 1,, re_bracket(1,, Table4[[#This Row],[reLevelChars]])) &amp; "?")))</f>
        <v/>
      </c>
      <c r="AF15" s="87"/>
      <c r="AG15" s="87"/>
      <c r="AH15" s="47" t="str">
        <f>IFx(Table4[[#This Row],[noCalc]], "", IFx( Table4[[#This Row],[reRefType]], re_group( AH$4,,Table4[[#This Row],[reRefType]] &amp; Table4[[#This Row],[reLabel]])))</f>
        <v/>
      </c>
      <c r="AI15" s="87" t="str">
        <f xml:space="preserve"> re_group( AI$4,,  Table4[[#This Row],[reHashSymbol]] &amp; Table4[[#This Row],[ReHashSymbolQ]] )</f>
        <v/>
      </c>
      <c r="AJ15" s="87" t="s">
        <v>138</v>
      </c>
      <c r="AK15" s="87" t="str">
        <f>re_group( AK$4,, re_bracket(1,, Table4[[#This Row],[reHashChars]]))</f>
        <v/>
      </c>
      <c r="AL15" s="87"/>
      <c r="AM15" s="87" t="str">
        <f>IFx(Table4[[#This Row],[noCalc]], "", re_group( AM$4,, re_tag_label_simple))</f>
        <v/>
      </c>
      <c r="AN15" s="47" t="str">
        <f>IFx(Table4[[#This Row],[noCalc]], "", re_group( AN$4,, re_tag_tail))</f>
        <v/>
      </c>
      <c r="AO15" s="47" t="str">
        <f>IFx(Table4[[#This Row],[noCalc]], "", re_group( AL$4,, re_tag_after))</f>
        <v/>
      </c>
      <c r="AP15" s="6" t="s">
        <v>138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2:66">
      <c r="B16" s="48" t="s">
        <v>73</v>
      </c>
      <c r="C16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6" s="74" t="str">
        <f>IFx( Table4[[#This Row],[rule_name]], _xlfn.TEXTJOIN(" ",, "{", "include:", "'#" &amp; Table4[[#This Row],[rule_name]] &amp; "'", "}"))</f>
        <v/>
      </c>
      <c r="E16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6" s="67" t="str">
        <f>IF(Table4[[#This Row],[spirit]]="", "", re_surround(1,, "'", "'", SUBSTITUTE(meta_subscope_mask, spirit_placeholder, Table4[[#This Row],[spirit]])))</f>
        <v/>
      </c>
      <c r="G16" s="67" t="str">
        <f>IF(Table4[[#This Row],[spirit]]="", "", re_surround(1,, "'", "'", SUBSTITUTE(markup_subscope_mask, spirit_placeholder, Table4[[#This Row],[spirit]])))</f>
        <v/>
      </c>
      <c r="H16" s="69" t="str">
        <f>IF(Table4[[#This Row],[spirit]]="", "",  re_surround(1,, "'", "'",SUBSTITUTE(dynamic_subscope_mask, spirit_placeholder, Table4[[#This Row],[spirit]])))</f>
        <v/>
      </c>
      <c r="I16" s="97" t="str">
        <f>SUBSTITUTE(SUBSTITUTE(IF(Table4[[#This Row],[spirit]]="", "", Table4[[#This Row],[rule_name_pfx]] &amp; IF(Table4[[#This Row],[spirit]]="undef", "", Table4[[#This Row],[spirit]])), ".", "_"), "-", "_")</f>
        <v/>
      </c>
      <c r="J16" s="74"/>
      <c r="K16" s="74"/>
      <c r="L16" s="94"/>
      <c r="M16" s="91" t="s">
        <v>239</v>
      </c>
      <c r="N16" s="47" t="str">
        <f>"" &amp; IF( Table4[[#This Row],[use]] ="", "",  IFERROR(INDEX(TCfg, 0, MATCH(Table4[[#This Row],[use]], Table4[#Headers], 0)), ""))</f>
        <v>[#@]\w*[0-9a-zA-Z_]+\w*[0-9a-zA-Z_]</v>
      </c>
      <c r="O16" s="47" t="s">
        <v>266</v>
      </c>
      <c r="P16" s="35" t="str">
        <f>re_tw_refsymbol &amp; re_tw_label</f>
        <v>[#@]\w*[0-9a-zA-Z_]+\w*[0-9a-zA-Z_]</v>
      </c>
      <c r="Q16" s="35"/>
      <c r="R16" s="47" t="b">
        <f>OR( Table4[[#This Row],[use]] = "", Table4[[#This Row],[use]] = "custom", Table4[[#This Row],[use]] = "alternate" )</f>
        <v>1</v>
      </c>
      <c r="S16" s="47" t="str">
        <f>re_surround(1,,"'", "'",  Table4[[#This Row],[re_escaped]])</f>
        <v/>
      </c>
      <c r="T16" s="47" t="str">
        <f>SUBSTITUTE(Table4[[#This Row],[regex]], "\", "\\")</f>
        <v/>
      </c>
      <c r="U16" s="86" t="str">
        <f t="shared" si="2"/>
        <v>|</v>
      </c>
      <c r="V16" s="47" t="str">
        <f>IFx(Table4[[#This Row],[noCalc]],"", IFx(Table4[[#This Row],[reSpan]], re_group( V$4, , Table4[[#This Row],[before]] &amp; Table4[[#This Row],[reSpan]] &amp; Table4[[#This Row],[after]])))</f>
        <v/>
      </c>
      <c r="W16" s="87"/>
      <c r="X16" s="47" t="str">
        <f>IFx( Table4[[#This Row],[noCalc]], "", IFx(  Table4[[#This Row],[reHashRef]], re_group(X$4,, Table4[[#This Row],[begin]] &amp; Table4[[#This Row],[reHashRef]] &amp; Table4[[#This Row],[end]])))</f>
        <v/>
      </c>
      <c r="Y16" s="47" t="str">
        <f>re_group(Y$4,, Table4[[#This Row],[rePrelude]])</f>
        <v/>
      </c>
      <c r="Z16" s="87" t="str">
        <f>IFx(Table4[[#This Row],[noCalc]], "", IFx(Table4[[#This Row],[reSpiritSymbolChars]], re_group(  Z$4,,  Table4[[#This Row],[reSpiritDesignator]] &amp; Table4[[#This Row],[reLevel]])))</f>
        <v/>
      </c>
      <c r="AA16" s="87" t="str">
        <f>IFx( Table4[[#This Row],[noCalc]], "", IFx(Table4[[#This Row],[reSpiritSymbolChars]], re_group(  AA$4,,  Table4[[#This Row],[reSpiritSymbol]]  &amp; Table4[[#This Row],[reSpiritSymbolQ]] ) ))</f>
        <v/>
      </c>
      <c r="AB16" s="87"/>
      <c r="AC16" s="87" t="str">
        <f>IFx( Table4[[#This Row],[noCalc]], "", IFx(Table4[[#This Row],[reSpiritSymbolChars]], re_group(  AC$4,, re_bracket(1,,  Table4[[#This Row],[reSpiritSymbolChars]]) )))</f>
        <v/>
      </c>
      <c r="AD16" s="35"/>
      <c r="AE16" s="87" t="str">
        <f>IF(Table4[[#This Row],[noCalc]], "",  IFx(Table4[[#This Row],[reLevelChars]],  re_group(  AE$4,,  re_group_no_capture( 1,, re_bracket(1,, Table4[[#This Row],[reLevelChars]])) &amp; "?")))</f>
        <v/>
      </c>
      <c r="AF16" s="87"/>
      <c r="AG16" s="87"/>
      <c r="AH16" s="47" t="str">
        <f>IFx(Table4[[#This Row],[noCalc]], "", IFx( Table4[[#This Row],[reRefType]], re_group( AH$4,,Table4[[#This Row],[reRefType]] &amp; Table4[[#This Row],[reLabel]])))</f>
        <v/>
      </c>
      <c r="AI16" s="87" t="str">
        <f xml:space="preserve"> re_group( AI$4,,  Table4[[#This Row],[reHashSymbol]] &amp; Table4[[#This Row],[ReHashSymbolQ]] )</f>
        <v/>
      </c>
      <c r="AJ16" s="87" t="s">
        <v>138</v>
      </c>
      <c r="AK16" s="87" t="str">
        <f>re_group( AK$4,, re_bracket(1,, Table4[[#This Row],[reHashChars]]))</f>
        <v/>
      </c>
      <c r="AL16" s="87"/>
      <c r="AM16" s="87" t="str">
        <f>IFx(Table4[[#This Row],[noCalc]], "", re_group( AM$4,, re_tag_label_simple))</f>
        <v/>
      </c>
      <c r="AN16" s="47" t="str">
        <f>IFx(Table4[[#This Row],[noCalc]], "", re_group( AN$4,, re_tag_tail))</f>
        <v/>
      </c>
      <c r="AO16" s="47" t="str">
        <f>IFx(Table4[[#This Row],[noCalc]], "", re_group( AL$4,, re_tag_after))</f>
        <v/>
      </c>
      <c r="AP16" s="6" t="s">
        <v>138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2:66">
      <c r="B17" s="48" t="s">
        <v>73</v>
      </c>
      <c r="C17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7" s="74" t="str">
        <f>IFx( Table4[[#This Row],[rule_name]], _xlfn.TEXTJOIN(" ",, "{", "include:", "'#" &amp; Table4[[#This Row],[rule_name]] &amp; "'", "}"))</f>
        <v/>
      </c>
      <c r="E17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7" s="67" t="str">
        <f>IF(Table4[[#This Row],[spirit]]="", "", re_surround(1,, "'", "'", SUBSTITUTE(meta_subscope_mask, spirit_placeholder, Table4[[#This Row],[spirit]])))</f>
        <v/>
      </c>
      <c r="G17" s="67" t="str">
        <f>IF(Table4[[#This Row],[spirit]]="", "", re_surround(1,, "'", "'", SUBSTITUTE(markup_subscope_mask, spirit_placeholder, Table4[[#This Row],[spirit]])))</f>
        <v/>
      </c>
      <c r="H17" s="69" t="str">
        <f>IF(Table4[[#This Row],[spirit]]="", "",  re_surround(1,, "'", "'",SUBSTITUTE(dynamic_subscope_mask, spirit_placeholder, Table4[[#This Row],[spirit]])))</f>
        <v/>
      </c>
      <c r="I17" s="97" t="str">
        <f>SUBSTITUTE(SUBSTITUTE(IF(Table4[[#This Row],[spirit]]="", "", Table4[[#This Row],[rule_name_pfx]] &amp; IF(Table4[[#This Row],[spirit]]="undef", "", Table4[[#This Row],[spirit]])), ".", "_"), "-", "_")</f>
        <v/>
      </c>
      <c r="J17" s="74"/>
      <c r="K17" s="74"/>
      <c r="L17" s="94"/>
      <c r="M17" s="91"/>
      <c r="N17" s="47" t="str">
        <f>"" &amp; IF( Table4[[#This Row],[use]] ="", "",  IFERROR(INDEX(TCfg, 0, MATCH(Table4[[#This Row],[use]], Table4[#Headers], 0)), ""))</f>
        <v/>
      </c>
      <c r="O17" s="47"/>
      <c r="P17" s="35"/>
      <c r="Q17" s="35"/>
      <c r="R17" s="47" t="b">
        <f>OR( Table4[[#This Row],[use]] = "", Table4[[#This Row],[use]] = "custom", Table4[[#This Row],[use]] = "alternate" )</f>
        <v>1</v>
      </c>
      <c r="S17" s="47" t="str">
        <f>re_surround(1,,"'", "'",  Table4[[#This Row],[re_escaped]])</f>
        <v/>
      </c>
      <c r="T17" s="47" t="str">
        <f>SUBSTITUTE(Table4[[#This Row],[regex]], "\", "\\")</f>
        <v/>
      </c>
      <c r="U17" s="86" t="str">
        <f t="shared" si="2"/>
        <v>|</v>
      </c>
      <c r="V17" s="47" t="str">
        <f>IFx(Table4[[#This Row],[noCalc]],"", IFx(Table4[[#This Row],[reSpan]], re_group( V$4, , Table4[[#This Row],[before]] &amp; Table4[[#This Row],[reSpan]] &amp; Table4[[#This Row],[after]])))</f>
        <v/>
      </c>
      <c r="W17" s="87"/>
      <c r="X17" s="47" t="str">
        <f>IFx( Table4[[#This Row],[noCalc]], "", IFx(  Table4[[#This Row],[reHashRef]], re_group(X$4,, Table4[[#This Row],[begin]] &amp; Table4[[#This Row],[reHashRef]] &amp; Table4[[#This Row],[end]])))</f>
        <v/>
      </c>
      <c r="Y17" s="47" t="str">
        <f>re_group(Y$4,, Table4[[#This Row],[rePrelude]])</f>
        <v/>
      </c>
      <c r="Z17" s="87" t="str">
        <f>IFx(Table4[[#This Row],[noCalc]], "", IFx(Table4[[#This Row],[reSpiritSymbolChars]], re_group(  Z$4,,  Table4[[#This Row],[reSpiritDesignator]] &amp; Table4[[#This Row],[reLevel]])))</f>
        <v/>
      </c>
      <c r="AA17" s="87" t="str">
        <f>IFx( Table4[[#This Row],[noCalc]], "", IFx(Table4[[#This Row],[reSpiritSymbolChars]], re_group(  AA$4,,  Table4[[#This Row],[reSpiritSymbol]]  &amp; Table4[[#This Row],[reSpiritSymbolQ]] ) ))</f>
        <v/>
      </c>
      <c r="AB17" s="47"/>
      <c r="AC17" s="47" t="str">
        <f>IFx( Table4[[#This Row],[noCalc]], "", IFx(Table4[[#This Row],[reSpiritSymbolChars]], re_group(  AC$4,, re_bracket(1,,  Table4[[#This Row],[reSpiritSymbolChars]]) )))</f>
        <v/>
      </c>
      <c r="AD17" s="35"/>
      <c r="AE17" s="87" t="str">
        <f>IF(Table4[[#This Row],[noCalc]], "",  IFx(Table4[[#This Row],[reLevelChars]],  re_group(  AE$4,,  re_group_no_capture( 1,, re_bracket(1,, Table4[[#This Row],[reLevelChars]])) &amp; "?")))</f>
        <v/>
      </c>
      <c r="AF17" s="47"/>
      <c r="AG17" s="47"/>
      <c r="AH17" s="47" t="str">
        <f>IFx(Table4[[#This Row],[noCalc]], "", IFx( Table4[[#This Row],[reRefType]], re_group( AH$4,,Table4[[#This Row],[reRefType]] &amp; Table4[[#This Row],[reLabel]])))</f>
        <v/>
      </c>
      <c r="AI17" s="87" t="str">
        <f xml:space="preserve"> re_group( AI$4,,  Table4[[#This Row],[reHashSymbol]] &amp; Table4[[#This Row],[ReHashSymbolQ]] )</f>
        <v/>
      </c>
      <c r="AJ17" s="87" t="s">
        <v>138</v>
      </c>
      <c r="AK17" s="87" t="str">
        <f>re_group( AK$4,, re_bracket(1,, Table4[[#This Row],[reHashChars]]))</f>
        <v/>
      </c>
      <c r="AL17" s="87"/>
      <c r="AM17" s="87" t="str">
        <f>IFx(Table4[[#This Row],[noCalc]], "", re_group( AM$4,, re_tag_label_simple))</f>
        <v/>
      </c>
      <c r="AN17" s="47" t="str">
        <f>IFx(Table4[[#This Row],[noCalc]], "", re_group( AN$4,, re_tag_tail))</f>
        <v/>
      </c>
      <c r="AO17" s="47" t="str">
        <f>IFx(Table4[[#This Row],[noCalc]], "", re_group( AL$4,, re_tag_after))</f>
        <v/>
      </c>
      <c r="AP17" s="6" t="s">
        <v>138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2:66">
      <c r="B18" s="49" t="s">
        <v>74</v>
      </c>
      <c r="C18" s="75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8" s="75" t="str">
        <f>IFx( Table4[[#This Row],[rule_name]], _xlfn.TEXTJOIN(" ",, "{", "include:", "'#" &amp; Table4[[#This Row],[rule_name]] &amp; "'", "}"))</f>
        <v/>
      </c>
      <c r="E18" s="66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8" s="66" t="str">
        <f>IF(Table4[[#This Row],[spirit]]="", "", re_surround(1,, "'", "'", SUBSTITUTE(meta_subscope_mask, spirit_placeholder, Table4[[#This Row],[spirit]])))</f>
        <v/>
      </c>
      <c r="G18" s="66" t="str">
        <f>IF(Table4[[#This Row],[spirit]]="", "", re_surround(1,, "'", "'", SUBSTITUTE(markup_subscope_mask, spirit_placeholder, Table4[[#This Row],[spirit]])))</f>
        <v/>
      </c>
      <c r="H18" s="69" t="str">
        <f>IF(Table4[[#This Row],[spirit]]="", "",  re_surround(1,, "'", "'",SUBSTITUTE(dynamic_subscope_mask, spirit_placeholder, Table4[[#This Row],[spirit]])))</f>
        <v/>
      </c>
      <c r="I18" s="97" t="str">
        <f>SUBSTITUTE(SUBSTITUTE(IF(Table4[[#This Row],[spirit]]="", "", Table4[[#This Row],[rule_name_pfx]] &amp; IF(Table4[[#This Row],[spirit]]="undef", "", Table4[[#This Row],[spirit]])), ".", "_"), "-", "_")</f>
        <v/>
      </c>
      <c r="J18" s="74"/>
      <c r="K18" s="74"/>
      <c r="L18" s="93"/>
      <c r="M18" s="91"/>
      <c r="N18" s="47" t="str">
        <f>"" &amp; IF( Table4[[#This Row],[use]] ="", "",  IFERROR(INDEX(TCfg, 0, MATCH(Table4[[#This Row],[use]], Table4[#Headers], 0)), ""))</f>
        <v/>
      </c>
      <c r="O18" s="47"/>
      <c r="P18" s="35"/>
      <c r="Q18" s="35"/>
      <c r="R18" s="47" t="b">
        <f>OR( Table4[[#This Row],[use]] = "", Table4[[#This Row],[use]] = "custom", Table4[[#This Row],[use]] = "alternate" )</f>
        <v>1</v>
      </c>
      <c r="S18" s="47" t="str">
        <f>re_surround(1,,"'", "'",  Table4[[#This Row],[re_escaped]])</f>
        <v/>
      </c>
      <c r="T18" s="47" t="str">
        <f>SUBSTITUTE(Table4[[#This Row],[regex]], "\", "\\")</f>
        <v/>
      </c>
      <c r="U18" s="86" t="str">
        <f t="shared" si="2"/>
        <v>|</v>
      </c>
      <c r="V18" s="47" t="str">
        <f>IFx(Table4[[#This Row],[noCalc]],"", IFx(Table4[[#This Row],[reSpan]], re_group( V$4, , Table4[[#This Row],[before]] &amp; Table4[[#This Row],[reSpan]] &amp; Table4[[#This Row],[after]])))</f>
        <v/>
      </c>
      <c r="W18" s="87"/>
      <c r="X18" s="47" t="str">
        <f>IFx( Table4[[#This Row],[noCalc]], "", IFx(  Table4[[#This Row],[reHashRef]], re_group(X$4,, Table4[[#This Row],[begin]] &amp; Table4[[#This Row],[reHashRef]] &amp; Table4[[#This Row],[end]])))</f>
        <v/>
      </c>
      <c r="Y18" s="47" t="str">
        <f>re_group(Y$4,, Table4[[#This Row],[rePrelude]])</f>
        <v/>
      </c>
      <c r="Z18" s="87" t="str">
        <f>IFx(Table4[[#This Row],[noCalc]], "", IFx(Table4[[#This Row],[reSpiritSymbolChars]], re_group(  Z$4,,  Table4[[#This Row],[reSpiritDesignator]] &amp; Table4[[#This Row],[reLevel]])))</f>
        <v/>
      </c>
      <c r="AA18" s="87" t="str">
        <f>IFx( Table4[[#This Row],[noCalc]], "", IFx(Table4[[#This Row],[reSpiritSymbolChars]], re_group(  AA$4,,  Table4[[#This Row],[reSpiritSymbol]]  &amp; Table4[[#This Row],[reSpiritSymbolQ]] ) ))</f>
        <v/>
      </c>
      <c r="AB18" s="47"/>
      <c r="AC18" s="47" t="str">
        <f>IFx( Table4[[#This Row],[noCalc]], "", IFx(Table4[[#This Row],[reSpiritSymbolChars]], re_group(  AC$4,, re_bracket(1,,  Table4[[#This Row],[reSpiritSymbolChars]]) )))</f>
        <v/>
      </c>
      <c r="AD18" s="35"/>
      <c r="AE18" s="87" t="str">
        <f>IF(Table4[[#This Row],[noCalc]], "",  IFx(Table4[[#This Row],[reLevelChars]],  re_group(  AE$4,,  re_group_no_capture( 1,, re_bracket(1,, Table4[[#This Row],[reLevelChars]])) &amp; "?")))</f>
        <v/>
      </c>
      <c r="AF18" s="47"/>
      <c r="AG18" s="47"/>
      <c r="AH18" s="47" t="str">
        <f>IFx(Table4[[#This Row],[noCalc]], "", IFx( Table4[[#This Row],[reRefType]], re_group( AH$4,,Table4[[#This Row],[reRefType]] &amp; Table4[[#This Row],[reLabel]])))</f>
        <v/>
      </c>
      <c r="AI18" s="87" t="str">
        <f xml:space="preserve"> re_group( AI$4,,  Table4[[#This Row],[reHashSymbol]] &amp; Table4[[#This Row],[ReHashSymbolQ]] )</f>
        <v/>
      </c>
      <c r="AJ18" s="87" t="s">
        <v>138</v>
      </c>
      <c r="AK18" s="87" t="str">
        <f>re_group( AK$4,, re_bracket(1,, Table4[[#This Row],[reHashChars]]))</f>
        <v/>
      </c>
      <c r="AL18" s="87"/>
      <c r="AM18" s="87" t="str">
        <f>IFx(Table4[[#This Row],[noCalc]], "", re_group( AM$4,, re_tag_label_simple))</f>
        <v/>
      </c>
      <c r="AN18" s="47" t="str">
        <f>IFx(Table4[[#This Row],[noCalc]], "", re_group( AN$4,, re_tag_tail))</f>
        <v/>
      </c>
      <c r="AO18" s="47" t="str">
        <f>IFx(Table4[[#This Row],[noCalc]], "", re_group( AL$4,, re_tag_after))</f>
        <v/>
      </c>
      <c r="AP18" s="6" t="s">
        <v>138</v>
      </c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2:66">
      <c r="B19" s="49"/>
      <c r="C19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19" s="77" t="str">
        <f>IFx( Table4[[#This Row],[rule_name]], _xlfn.TEXTJOIN(" ",, "{", "include:", "'#" &amp; Table4[[#This Row],[rule_name]] &amp; "'", "}"))</f>
        <v/>
      </c>
      <c r="E19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19" s="114" t="str">
        <f>IF(Table4[[#This Row],[spirit]]="", "", re_surround(1,, "'", "'", SUBSTITUTE(meta_subscope_mask, spirit_placeholder, Table4[[#This Row],[spirit]])))</f>
        <v/>
      </c>
      <c r="G19" s="78" t="str">
        <f>IF(Table4[[#This Row],[spirit]]="", "", re_surround(1,, "'", "'", SUBSTITUTE(markup_subscope_mask, spirit_placeholder, Table4[[#This Row],[spirit]])))</f>
        <v/>
      </c>
      <c r="H19" s="79" t="str">
        <f>IF(Table4[[#This Row],[spirit]]="", "",  re_surround(1,, "'", "'",SUBSTITUTE(dynamic_subscope_mask, spirit_placeholder, Table4[[#This Row],[spirit]])))</f>
        <v/>
      </c>
      <c r="I19" s="99" t="str">
        <f>SUBSTITUTE(SUBSTITUTE(IF(Table4[[#This Row],[spirit]]="", "", Table4[[#This Row],[rule_name_pfx]] &amp; IF(Table4[[#This Row],[spirit]]="undef", "", Table4[[#This Row],[spirit]])), ".", "_"), "-", "_")</f>
        <v/>
      </c>
      <c r="J19" s="74"/>
      <c r="K19" s="74"/>
      <c r="L19" s="94"/>
      <c r="M19" s="91" t="s">
        <v>328</v>
      </c>
      <c r="N19" s="47" t="str">
        <f>"" &amp; IF( Table4[[#This Row],[use]] ="", "",  IFERROR(INDEX(TCfg, 0, MATCH(Table4[[#This Row],[use]], Table4[#Headers], 0)), ""))</f>
        <v>notelet</v>
      </c>
      <c r="O19" s="47" t="s">
        <v>266</v>
      </c>
      <c r="P19" s="35" t="s">
        <v>326</v>
      </c>
      <c r="Q19" s="35"/>
      <c r="R19" s="80" t="b">
        <f>OR( Table4[[#This Row],[use]] = "", Table4[[#This Row],[use]] = "custom", Table4[[#This Row],[use]] = "alternate" )</f>
        <v>1</v>
      </c>
      <c r="S19" s="80" t="str">
        <f>re_surround(1,,"'", "'",  Table4[[#This Row],[re_escaped]])</f>
        <v/>
      </c>
      <c r="T19" s="80" t="str">
        <f>SUBSTITUTE(Table4[[#This Row],[regex]], "\", "\\")</f>
        <v/>
      </c>
      <c r="U19" s="115" t="str">
        <f>"|"</f>
        <v>|</v>
      </c>
      <c r="V19" s="80" t="str">
        <f>IFx(Table4[[#This Row],[noCalc]],"", IFx(Table4[[#This Row],[reSpan]], re_group( V$4, , Table4[[#This Row],[before]] &amp; Table4[[#This Row],[reSpan]] &amp; Table4[[#This Row],[after]])))</f>
        <v/>
      </c>
      <c r="W19" s="116" t="str">
        <f>IF(Table4[[#This Row],[noCalc]], "", re_group( T$4, , re_tag_before ))</f>
        <v/>
      </c>
      <c r="X19" s="80" t="str">
        <f>IFx( Table4[[#This Row],[noCalc]], "", IFx(  Table4[[#This Row],[reHashRef]], re_group(X$4,, Table4[[#This Row],[begin]] &amp; Table4[[#This Row],[reHashRef]] &amp; Table4[[#This Row],[end]])))</f>
        <v/>
      </c>
      <c r="Y19" s="80" t="str">
        <f>re_group(Y$4,, Table4[[#This Row],[rePrelude]])</f>
        <v/>
      </c>
      <c r="Z19" s="116" t="str">
        <f>IFx(Table4[[#This Row],[noCalc]], "", IFx(Table4[[#This Row],[reSpiritSymbolChars]], re_group(  Z$4,,  Table4[[#This Row],[reSpiritDesignator]] &amp; Table4[[#This Row],[reLevel]])))</f>
        <v/>
      </c>
      <c r="AA19" s="116" t="str">
        <f>IFx( Table4[[#This Row],[noCalc]], "", IFx(Table4[[#This Row],[reSpiritSymbolChars]], re_group(  AA$4,,  Table4[[#This Row],[reSpiritSymbol]]  &amp; Table4[[#This Row],[reSpiritSymbolQ]] ) ))</f>
        <v/>
      </c>
      <c r="AB19" s="47"/>
      <c r="AC19" s="47" t="str">
        <f>IFx( Table4[[#This Row],[noCalc]], "", IFx(Table4[[#This Row],[reSpiritSymbolChars]], re_group(  AC$4,, re_bracket(1,,  Table4[[#This Row],[reSpiritSymbolChars]]) )))</f>
        <v/>
      </c>
      <c r="AD19" s="35"/>
      <c r="AE19" s="116" t="str">
        <f>IF(Table4[[#This Row],[noCalc]], "",  IFx(Table4[[#This Row],[reLevelChars]],  re_group(  AE$4,,  re_group_no_capture( 1,, re_bracket(1,, Table4[[#This Row],[reLevelChars]])) &amp; "?")))</f>
        <v/>
      </c>
      <c r="AF19" s="47"/>
      <c r="AG19" s="47"/>
      <c r="AH19" s="80" t="str">
        <f>IFx(Table4[[#This Row],[noCalc]], "", IFx( Table4[[#This Row],[reRefType]], re_group( AH$4,,Table4[[#This Row],[reRefType]] &amp; Table4[[#This Row],[reLabel]])))</f>
        <v/>
      </c>
      <c r="AI19" s="116" t="str">
        <f xml:space="preserve"> re_group( AI$4,,  Table4[[#This Row],[reHashSymbol]] &amp; Table4[[#This Row],[ReHashSymbolQ]] )</f>
        <v/>
      </c>
      <c r="AJ19" s="90"/>
      <c r="AK19" s="116" t="str">
        <f>re_group( AK$4,, re_bracket(1,, Table4[[#This Row],[reHashChars]]))</f>
        <v/>
      </c>
      <c r="AL19" s="87"/>
      <c r="AM19" s="116" t="str">
        <f>IFx(Table4[[#This Row],[noCalc]], "", re_group( AM$4,, re_tag_label_simple))</f>
        <v/>
      </c>
      <c r="AN19" s="80" t="str">
        <f>IFx(Table4[[#This Row],[noCalc]], "", re_group( AN$4,, re_tag_tail))</f>
        <v/>
      </c>
      <c r="AO19" s="80" t="str">
        <f>IFx(Table4[[#This Row],[noCalc]], "", re_group( AL$4,, re_tag_after))</f>
        <v/>
      </c>
      <c r="AP19" s="6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2:66">
      <c r="B20" s="49"/>
      <c r="C20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0" s="77" t="str">
        <f>IFx( Table4[[#This Row],[rule_name]], _xlfn.TEXTJOIN(" ",, "{", "include:", "'#" &amp; Table4[[#This Row],[rule_name]] &amp; "'", "}"))</f>
        <v/>
      </c>
      <c r="E20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0" s="114" t="str">
        <f>IF(Table4[[#This Row],[spirit]]="", "", re_surround(1,, "'", "'", SUBSTITUTE(meta_subscope_mask, spirit_placeholder, Table4[[#This Row],[spirit]])))</f>
        <v/>
      </c>
      <c r="G20" s="78" t="str">
        <f>IF(Table4[[#This Row],[spirit]]="", "", re_surround(1,, "'", "'", SUBSTITUTE(markup_subscope_mask, spirit_placeholder, Table4[[#This Row],[spirit]])))</f>
        <v/>
      </c>
      <c r="H20" s="79" t="str">
        <f>IF(Table4[[#This Row],[spirit]]="", "",  re_surround(1,, "'", "'",SUBSTITUTE(dynamic_subscope_mask, spirit_placeholder, Table4[[#This Row],[spirit]])))</f>
        <v/>
      </c>
      <c r="I20" s="99" t="str">
        <f>SUBSTITUTE(SUBSTITUTE(IF(Table4[[#This Row],[spirit]]="", "", Table4[[#This Row],[rule_name_pfx]] &amp; IF(Table4[[#This Row],[spirit]]="undef", "", Table4[[#This Row],[spirit]])), ".", "_"), "-", "_")</f>
        <v/>
      </c>
      <c r="J20" s="74"/>
      <c r="K20" s="74"/>
      <c r="L20" s="94"/>
      <c r="M20" s="91" t="s">
        <v>325</v>
      </c>
      <c r="N20" s="47" t="str">
        <f>"" &amp; IF( Table4[[#This Row],[use]] ="", "",  IFERROR(INDEX(TCfg, 0, MATCH(Table4[[#This Row],[use]], Table4[#Headers], 0)), ""))</f>
        <v>text.noted</v>
      </c>
      <c r="O20" s="47" t="s">
        <v>266</v>
      </c>
      <c r="P20" s="35" t="s">
        <v>335</v>
      </c>
      <c r="Q20" s="35"/>
      <c r="R20" s="80" t="b">
        <f>OR( Table4[[#This Row],[use]] = "", Table4[[#This Row],[use]] = "custom", Table4[[#This Row],[use]] = "alternate" )</f>
        <v>1</v>
      </c>
      <c r="S20" s="80" t="str">
        <f>re_surround(1,,"'", "'",  Table4[[#This Row],[re_escaped]])</f>
        <v/>
      </c>
      <c r="T20" s="80" t="str">
        <f>SUBSTITUTE(Table4[[#This Row],[regex]], "\", "\\")</f>
        <v/>
      </c>
      <c r="U20" s="115" t="str">
        <f>"|"</f>
        <v>|</v>
      </c>
      <c r="V20" s="80" t="str">
        <f>IFx(Table4[[#This Row],[noCalc]],"", IFx(Table4[[#This Row],[reSpan]], re_group( V$4, , Table4[[#This Row],[before]] &amp; Table4[[#This Row],[reSpan]] &amp; Table4[[#This Row],[after]])))</f>
        <v/>
      </c>
      <c r="W20" s="116" t="str">
        <f>IF(Table4[[#This Row],[noCalc]], "", re_group( T$4, , re_tag_before ))</f>
        <v/>
      </c>
      <c r="X20" s="80" t="str">
        <f>IFx( Table4[[#This Row],[noCalc]], "", IFx(  Table4[[#This Row],[reHashRef]], re_group(X$4,, Table4[[#This Row],[begin]] &amp; Table4[[#This Row],[reHashRef]] &amp; Table4[[#This Row],[end]])))</f>
        <v/>
      </c>
      <c r="Y20" s="80" t="str">
        <f>re_group(Y$4,, Table4[[#This Row],[rePrelude]])</f>
        <v/>
      </c>
      <c r="Z20" s="116" t="str">
        <f>IFx(Table4[[#This Row],[noCalc]], "", IFx(Table4[[#This Row],[reSpiritSymbolChars]], re_group(  Z$4,,  Table4[[#This Row],[reSpiritDesignator]] &amp; Table4[[#This Row],[reLevel]])))</f>
        <v/>
      </c>
      <c r="AA20" s="116" t="str">
        <f>IFx( Table4[[#This Row],[noCalc]], "", IFx(Table4[[#This Row],[reSpiritSymbolChars]], re_group(  AA$4,,  Table4[[#This Row],[reSpiritSymbol]]  &amp; Table4[[#This Row],[reSpiritSymbolQ]] ) ))</f>
        <v/>
      </c>
      <c r="AB20" s="47"/>
      <c r="AC20" s="47" t="str">
        <f>IFx( Table4[[#This Row],[noCalc]], "", IFx(Table4[[#This Row],[reSpiritSymbolChars]], re_group(  AC$4,, re_bracket(1,,  Table4[[#This Row],[reSpiritSymbolChars]]) )))</f>
        <v/>
      </c>
      <c r="AD20" s="35"/>
      <c r="AE20" s="116" t="str">
        <f>IF(Table4[[#This Row],[noCalc]], "",  IFx(Table4[[#This Row],[reLevelChars]],  re_group(  AE$4,,  re_group_no_capture( 1,, re_bracket(1,, Table4[[#This Row],[reLevelChars]])) &amp; "?")))</f>
        <v/>
      </c>
      <c r="AF20" s="47"/>
      <c r="AG20" s="47"/>
      <c r="AH20" s="80" t="str">
        <f>IFx(Table4[[#This Row],[noCalc]], "", IFx( Table4[[#This Row],[reRefType]], re_group( AH$4,,Table4[[#This Row],[reRefType]] &amp; Table4[[#This Row],[reLabel]])))</f>
        <v/>
      </c>
      <c r="AI20" s="116" t="str">
        <f xml:space="preserve"> re_group( AI$4,,  Table4[[#This Row],[reHashSymbol]] &amp; Table4[[#This Row],[ReHashSymbolQ]] )</f>
        <v/>
      </c>
      <c r="AJ20" s="90"/>
      <c r="AK20" s="116" t="str">
        <f>re_group( AK$4,, re_bracket(1,, Table4[[#This Row],[reHashChars]]))</f>
        <v/>
      </c>
      <c r="AL20" s="87"/>
      <c r="AM20" s="116" t="str">
        <f>IFx(Table4[[#This Row],[noCalc]], "", re_group( AM$4,, re_tag_label_simple))</f>
        <v/>
      </c>
      <c r="AN20" s="80" t="str">
        <f>IFx(Table4[[#This Row],[noCalc]], "", re_group( AN$4,, re_tag_tail))</f>
        <v/>
      </c>
      <c r="AO20" s="80" t="str">
        <f>IFx(Table4[[#This Row],[noCalc]], "", re_group( AL$4,, re_tag_after))</f>
        <v/>
      </c>
      <c r="AP20" s="6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2:66">
      <c r="B21" s="49"/>
      <c r="C21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1" s="77" t="str">
        <f>IFx( Table4[[#This Row],[rule_name]], _xlfn.TEXTJOIN(" ",, "{", "include:", "'#" &amp; Table4[[#This Row],[rule_name]] &amp; "'", "}"))</f>
        <v/>
      </c>
      <c r="E21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1" s="78" t="str">
        <f>IF(Table4[[#This Row],[spirit]]="", "", re_surround(1,, "'", "'", SUBSTITUTE(meta_subscope_mask, spirit_placeholder, Table4[[#This Row],[spirit]])))</f>
        <v/>
      </c>
      <c r="G21" s="78" t="str">
        <f>IF(Table4[[#This Row],[spirit]]="", "", re_surround(1,, "'", "'", SUBSTITUTE(markup_subscope_mask, spirit_placeholder, Table4[[#This Row],[spirit]])))</f>
        <v/>
      </c>
      <c r="H21" s="79" t="str">
        <f>IF(Table4[[#This Row],[spirit]]="", "",  re_surround(1,, "'", "'",SUBSTITUTE(dynamic_subscope_mask, spirit_placeholder, Table4[[#This Row],[spirit]])))</f>
        <v/>
      </c>
      <c r="I21" s="99" t="str">
        <f>SUBSTITUTE(SUBSTITUTE(IF(Table4[[#This Row],[spirit]]="", "", Table4[[#This Row],[rule_name_pfx]] &amp; IF(Table4[[#This Row],[spirit]]="undef", "", Table4[[#This Row],[spirit]])), ".", "_"), "-", "_")</f>
        <v/>
      </c>
      <c r="J21" s="74"/>
      <c r="K21" s="74"/>
      <c r="L21" s="94"/>
      <c r="M21" s="91" t="s">
        <v>347</v>
      </c>
      <c r="N21" s="47" t="str">
        <f>"" &amp; IF( Table4[[#This Row],[use]] ="", "",  IFERROR(INDEX(TCfg, 0, MATCH(Table4[[#This Row],[use]], Table4[#Headers], 0)), ""))</f>
        <v>spirit-marker-${3:/downcase}.spirit-symbol-${4:/downcase}.vigor-${5:/downcase}</v>
      </c>
      <c r="O21" s="47" t="s">
        <v>266</v>
      </c>
      <c r="P21" s="51" t="str">
        <f>_xlfn.TEXTJOIN(".",, "spirit-marker-${3:/downcase}",  "spirit-symbol-${4:/downcase}", "vigor-${5:/downcase}")</f>
        <v>spirit-marker-${3:/downcase}.spirit-symbol-${4:/downcase}.vigor-${5:/downcase}</v>
      </c>
      <c r="Q21" s="51"/>
      <c r="R21" s="80" t="b">
        <f>OR( Table4[[#This Row],[use]] = "", Table4[[#This Row],[use]] = "custom", Table4[[#This Row],[use]] = "alternate" )</f>
        <v>1</v>
      </c>
      <c r="S21" s="80" t="str">
        <f>re_surround(1,,"'", "'",  Table4[[#This Row],[re_escaped]])</f>
        <v/>
      </c>
      <c r="T21" s="80" t="str">
        <f>SUBSTITUTE(Table4[[#This Row],[regex]], "\", "\\")</f>
        <v/>
      </c>
      <c r="U21" s="115" t="str">
        <f>"|"</f>
        <v>|</v>
      </c>
      <c r="V21" s="80" t="str">
        <f>IFx(Table4[[#This Row],[noCalc]],"", IFx(Table4[[#This Row],[reSpan]], re_group( V$4, , Table4[[#This Row],[before]] &amp; Table4[[#This Row],[reSpan]] &amp; Table4[[#This Row],[after]])))</f>
        <v/>
      </c>
      <c r="W21" s="116" t="str">
        <f>IF(Table4[[#This Row],[noCalc]], "", re_group( T$4, , re_tag_before ))</f>
        <v/>
      </c>
      <c r="X21" s="80" t="str">
        <f>IFx( Table4[[#This Row],[noCalc]], "", IFx(  Table4[[#This Row],[reHashRef]], re_group(X$4,, Table4[[#This Row],[begin]] &amp; Table4[[#This Row],[reHashRef]] &amp; Table4[[#This Row],[end]])))</f>
        <v/>
      </c>
      <c r="Y21" s="80" t="str">
        <f>re_group(Y$4,, Table4[[#This Row],[rePrelude]])</f>
        <v/>
      </c>
      <c r="Z21" s="116" t="str">
        <f>IFx(Table4[[#This Row],[noCalc]], "", IFx(Table4[[#This Row],[reSpiritSymbolChars]], re_group(  Z$4,,  Table4[[#This Row],[reSpiritDesignator]] &amp; Table4[[#This Row],[reLevel]])))</f>
        <v/>
      </c>
      <c r="AA21" s="116" t="str">
        <f>IFx( Table4[[#This Row],[noCalc]], "", IFx(Table4[[#This Row],[reSpiritSymbolChars]], re_group(  AA$4,,  Table4[[#This Row],[reSpiritSymbol]]  &amp; Table4[[#This Row],[reSpiritSymbolQ]] ) ))</f>
        <v/>
      </c>
      <c r="AB21" s="47"/>
      <c r="AC21" s="47" t="str">
        <f>IFx( Table4[[#This Row],[noCalc]], "", IFx(Table4[[#This Row],[reSpiritSymbolChars]], re_group(  AC$4,, re_bracket(1,,  Table4[[#This Row],[reSpiritSymbolChars]]) )))</f>
        <v/>
      </c>
      <c r="AD21" s="35"/>
      <c r="AE21" s="116" t="str">
        <f>IF(Table4[[#This Row],[noCalc]], "",  IFx(Table4[[#This Row],[reLevelChars]],  re_group(  AE$4,,  re_group_no_capture( 1,, re_bracket(1,, Table4[[#This Row],[reLevelChars]])) &amp; "?")))</f>
        <v/>
      </c>
      <c r="AF21" s="47"/>
      <c r="AG21" s="47"/>
      <c r="AH21" s="80" t="str">
        <f>IFx(Table4[[#This Row],[noCalc]], "", IFx( Table4[[#This Row],[reRefType]], re_group( AH$4,,Table4[[#This Row],[reRefType]] &amp; Table4[[#This Row],[reLabel]])))</f>
        <v/>
      </c>
      <c r="AI21" s="116" t="str">
        <f xml:space="preserve"> re_group( AI$4,,  Table4[[#This Row],[reHashSymbol]] &amp; Table4[[#This Row],[ReHashSymbolQ]] )</f>
        <v/>
      </c>
      <c r="AJ21" s="90"/>
      <c r="AK21" s="116" t="str">
        <f>re_group( AK$4,, re_bracket(1,, Table4[[#This Row],[reHashChars]]))</f>
        <v/>
      </c>
      <c r="AL21" s="87"/>
      <c r="AM21" s="116" t="str">
        <f>IFx(Table4[[#This Row],[noCalc]], "", re_group( AM$4,, re_tag_label_simple))</f>
        <v/>
      </c>
      <c r="AN21" s="80" t="str">
        <f>IFx(Table4[[#This Row],[noCalc]], "", re_group( AN$4,, re_tag_tail))</f>
        <v/>
      </c>
      <c r="AO21" s="80" t="str">
        <f>IFx(Table4[[#This Row],[noCalc]], "", re_group( AL$4,, re_tag_after))</f>
        <v/>
      </c>
      <c r="AP21" s="6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2:66">
      <c r="B22" s="49"/>
      <c r="C22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2" s="77" t="str">
        <f>IFx( Table4[[#This Row],[rule_name]], _xlfn.TEXTJOIN(" ",, "{", "include:", "'#" &amp; Table4[[#This Row],[rule_name]] &amp; "'", "}"))</f>
        <v/>
      </c>
      <c r="E22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2" s="114" t="str">
        <f>IF(Table4[[#This Row],[spirit]]="", "", re_surround(1,, "'", "'", SUBSTITUTE(meta_subscope_mask, spirit_placeholder, Table4[[#This Row],[spirit]])))</f>
        <v/>
      </c>
      <c r="G22" s="78" t="str">
        <f>IF(Table4[[#This Row],[spirit]]="", "", re_surround(1,, "'", "'", SUBSTITUTE(markup_subscope_mask, spirit_placeholder, Table4[[#This Row],[spirit]])))</f>
        <v/>
      </c>
      <c r="H22" s="79" t="str">
        <f>IF(Table4[[#This Row],[spirit]]="", "",  re_surround(1,, "'", "'",SUBSTITUTE(dynamic_subscope_mask, spirit_placeholder, Table4[[#This Row],[spirit]])))</f>
        <v/>
      </c>
      <c r="I22" s="99" t="str">
        <f>SUBSTITUTE(SUBSTITUTE(IF(Table4[[#This Row],[spirit]]="", "", Table4[[#This Row],[rule_name_pfx]] &amp; IF(Table4[[#This Row],[spirit]]="undef", "", Table4[[#This Row],[spirit]])), ".", "_"), "-", "_")</f>
        <v/>
      </c>
      <c r="J22" s="74"/>
      <c r="K22" s="74"/>
      <c r="L22" s="94"/>
      <c r="M22" s="91" t="s">
        <v>327</v>
      </c>
      <c r="N22" s="47" t="str">
        <f>"" &amp; IF( Table4[[#This Row],[use]] ="", "",  IFERROR(INDEX(TCfg, 0, MATCH(Table4[[#This Row],[use]], Table4[#Headers], 0)), ""))</f>
        <v>spirit</v>
      </c>
      <c r="O22" s="47" t="s">
        <v>266</v>
      </c>
      <c r="P22" s="35" t="s">
        <v>290</v>
      </c>
      <c r="Q22" s="35"/>
      <c r="R22" s="80" t="b">
        <f>OR( Table4[[#This Row],[use]] = "", Table4[[#This Row],[use]] = "custom", Table4[[#This Row],[use]] = "alternate" )</f>
        <v>1</v>
      </c>
      <c r="S22" s="80" t="str">
        <f>re_surround(1,,"'", "'",  Table4[[#This Row],[re_escaped]])</f>
        <v/>
      </c>
      <c r="T22" s="80" t="str">
        <f>SUBSTITUTE(Table4[[#This Row],[regex]], "\", "\\")</f>
        <v/>
      </c>
      <c r="U22" s="115" t="str">
        <f>"|"</f>
        <v>|</v>
      </c>
      <c r="V22" s="80" t="str">
        <f>IFx(Table4[[#This Row],[noCalc]],"", IFx(Table4[[#This Row],[reSpan]], re_group( V$4, , Table4[[#This Row],[before]] &amp; Table4[[#This Row],[reSpan]] &amp; Table4[[#This Row],[after]])))</f>
        <v/>
      </c>
      <c r="W22" s="116" t="str">
        <f>IF(Table4[[#This Row],[noCalc]], "", re_group( T$4, , re_tag_before ))</f>
        <v/>
      </c>
      <c r="X22" s="80" t="str">
        <f>IFx( Table4[[#This Row],[noCalc]], "", IFx(  Table4[[#This Row],[reHashRef]], re_group(X$4,, Table4[[#This Row],[begin]] &amp; Table4[[#This Row],[reHashRef]] &amp; Table4[[#This Row],[end]])))</f>
        <v/>
      </c>
      <c r="Y22" s="80" t="str">
        <f>re_group(Y$4,, Table4[[#This Row],[rePrelude]])</f>
        <v/>
      </c>
      <c r="Z22" s="116" t="str">
        <f>IFx(Table4[[#This Row],[noCalc]], "", IFx(Table4[[#This Row],[reSpiritSymbolChars]], re_group(  Z$4,,  Table4[[#This Row],[reSpiritDesignator]] &amp; Table4[[#This Row],[reLevel]])))</f>
        <v/>
      </c>
      <c r="AA22" s="116" t="str">
        <f>IFx( Table4[[#This Row],[noCalc]], "", IFx(Table4[[#This Row],[reSpiritSymbolChars]], re_group(  AA$4,,  Table4[[#This Row],[reSpiritSymbol]]  &amp; Table4[[#This Row],[reSpiritSymbolQ]] ) ))</f>
        <v/>
      </c>
      <c r="AB22" s="47"/>
      <c r="AC22" s="47" t="str">
        <f>IFx( Table4[[#This Row],[noCalc]], "", IFx(Table4[[#This Row],[reSpiritSymbolChars]], re_group(  AC$4,, re_bracket(1,,  Table4[[#This Row],[reSpiritSymbolChars]]) )))</f>
        <v/>
      </c>
      <c r="AD22" s="35"/>
      <c r="AE22" s="116" t="str">
        <f>IF(Table4[[#This Row],[noCalc]], "",  IFx(Table4[[#This Row],[reLevelChars]],  re_group(  AE$4,,  re_group_no_capture( 1,, re_bracket(1,, Table4[[#This Row],[reLevelChars]])) &amp; "?")))</f>
        <v/>
      </c>
      <c r="AF22" s="47"/>
      <c r="AG22" s="47"/>
      <c r="AH22" s="80" t="str">
        <f>IFx(Table4[[#This Row],[noCalc]], "", IFx( Table4[[#This Row],[reRefType]], re_group( AH$4,,Table4[[#This Row],[reRefType]] &amp; Table4[[#This Row],[reLabel]])))</f>
        <v/>
      </c>
      <c r="AI22" s="116" t="str">
        <f xml:space="preserve"> re_group( AI$4,,  Table4[[#This Row],[reHashSymbol]] &amp; Table4[[#This Row],[ReHashSymbolQ]] )</f>
        <v/>
      </c>
      <c r="AJ22" s="90"/>
      <c r="AK22" s="116" t="str">
        <f>re_group( AK$4,, re_bracket(1,, Table4[[#This Row],[reHashChars]]))</f>
        <v/>
      </c>
      <c r="AL22" s="87"/>
      <c r="AM22" s="116" t="str">
        <f>IFx(Table4[[#This Row],[noCalc]], "", re_group( AM$4,, re_tag_label_simple))</f>
        <v/>
      </c>
      <c r="AN22" s="80" t="str">
        <f>IFx(Table4[[#This Row],[noCalc]], "", re_group( AN$4,, re_tag_tail))</f>
        <v/>
      </c>
      <c r="AO22" s="80" t="str">
        <f>IFx(Table4[[#This Row],[noCalc]], "", re_group( AL$4,, re_tag_after))</f>
        <v/>
      </c>
      <c r="AP22" s="6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2:66">
      <c r="B23" s="49"/>
      <c r="C23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3" s="77" t="str">
        <f>IFx( Table4[[#This Row],[rule_name]], _xlfn.TEXTJOIN(" ",, "{", "include:", "'#" &amp; Table4[[#This Row],[rule_name]] &amp; "'", "}"))</f>
        <v/>
      </c>
      <c r="E23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3" s="78" t="str">
        <f>IF(Table4[[#This Row],[spirit]]="", "", re_surround(1,, "'", "'", SUBSTITUTE(meta_subscope_mask, spirit_placeholder, Table4[[#This Row],[spirit]])))</f>
        <v/>
      </c>
      <c r="G23" s="78" t="str">
        <f>IF(Table4[[#This Row],[spirit]]="", "", re_surround(1,, "'", "'", SUBSTITUTE(markup_subscope_mask, spirit_placeholder, Table4[[#This Row],[spirit]])))</f>
        <v/>
      </c>
      <c r="H23" s="79" t="str">
        <f>IF(Table4[[#This Row],[spirit]]="", "",  re_surround(1,, "'", "'",SUBSTITUTE(dynamic_subscope_mask, spirit_placeholder, Table4[[#This Row],[spirit]])))</f>
        <v/>
      </c>
      <c r="I23" s="99" t="str">
        <f>SUBSTITUTE(SUBSTITUTE(IF(Table4[[#This Row],[spirit]]="", "", Table4[[#This Row],[rule_name_pfx]] &amp; IF(Table4[[#This Row],[spirit]]="undef", "", Table4[[#This Row],[spirit]])), ".", "_"), "-", "_")</f>
        <v/>
      </c>
      <c r="J23" s="74"/>
      <c r="K23" s="74"/>
      <c r="L23" s="94"/>
      <c r="M23" s="91" t="s">
        <v>329</v>
      </c>
      <c r="N23" s="47" t="str">
        <f>"" &amp; IF( Table4[[#This Row],[use]] ="", "",  IFERROR(INDEX(TCfg, 0, MATCH(Table4[[#This Row],[use]], Table4[#Headers], 0)), ""))</f>
        <v>{{SPIRIT}}</v>
      </c>
      <c r="O23" s="47" t="s">
        <v>266</v>
      </c>
      <c r="P23" s="51" t="s">
        <v>330</v>
      </c>
      <c r="Q23" s="51"/>
      <c r="R23" s="80" t="b">
        <f>OR( Table4[[#This Row],[use]] = "", Table4[[#This Row],[use]] = "custom", Table4[[#This Row],[use]] = "alternate" )</f>
        <v>1</v>
      </c>
      <c r="S23" s="80" t="str">
        <f>re_surround(1,,"'", "'",  Table4[[#This Row],[re_escaped]])</f>
        <v/>
      </c>
      <c r="T23" s="80" t="str">
        <f>SUBSTITUTE(Table4[[#This Row],[regex]], "\", "\\")</f>
        <v/>
      </c>
      <c r="U23" s="115" t="str">
        <f>"|"</f>
        <v>|</v>
      </c>
      <c r="V23" s="80" t="str">
        <f>IFx(Table4[[#This Row],[noCalc]],"", IFx(Table4[[#This Row],[reSpan]], re_group( V$4, , Table4[[#This Row],[before]] &amp; Table4[[#This Row],[reSpan]] &amp; Table4[[#This Row],[after]])))</f>
        <v/>
      </c>
      <c r="W23" s="116" t="str">
        <f>IF(Table4[[#This Row],[noCalc]], "", re_group( T$4, , re_tag_before ))</f>
        <v/>
      </c>
      <c r="X23" s="80" t="str">
        <f>IFx( Table4[[#This Row],[noCalc]], "", IFx(  Table4[[#This Row],[reHashRef]], re_group(X$4,, Table4[[#This Row],[begin]] &amp; Table4[[#This Row],[reHashRef]] &amp; Table4[[#This Row],[end]])))</f>
        <v/>
      </c>
      <c r="Y23" s="80" t="str">
        <f>re_group(Y$4,, Table4[[#This Row],[rePrelude]])</f>
        <v/>
      </c>
      <c r="Z23" s="116" t="str">
        <f>IFx(Table4[[#This Row],[noCalc]], "", IFx(Table4[[#This Row],[reSpiritSymbolChars]], re_group(  Z$4,,  Table4[[#This Row],[reSpiritDesignator]] &amp; Table4[[#This Row],[reLevel]])))</f>
        <v/>
      </c>
      <c r="AA23" s="116" t="str">
        <f>IFx( Table4[[#This Row],[noCalc]], "", IFx(Table4[[#This Row],[reSpiritSymbolChars]], re_group(  AA$4,,  Table4[[#This Row],[reSpiritSymbol]]  &amp; Table4[[#This Row],[reSpiritSymbolQ]] ) ))</f>
        <v/>
      </c>
      <c r="AB23" s="47"/>
      <c r="AC23" s="47" t="str">
        <f>IFx( Table4[[#This Row],[noCalc]], "", IFx(Table4[[#This Row],[reSpiritSymbolChars]], re_group(  AC$4,, re_bracket(1,,  Table4[[#This Row],[reSpiritSymbolChars]]) )))</f>
        <v/>
      </c>
      <c r="AD23" s="35"/>
      <c r="AE23" s="116" t="str">
        <f>IF(Table4[[#This Row],[noCalc]], "",  IFx(Table4[[#This Row],[reLevelChars]],  re_group(  AE$4,,  re_group_no_capture( 1,, re_bracket(1,, Table4[[#This Row],[reLevelChars]])) &amp; "?")))</f>
        <v/>
      </c>
      <c r="AF23" s="47"/>
      <c r="AG23" s="47"/>
      <c r="AH23" s="80" t="str">
        <f>IFx(Table4[[#This Row],[noCalc]], "", IFx( Table4[[#This Row],[reRefType]], re_group( AH$4,,Table4[[#This Row],[reRefType]] &amp; Table4[[#This Row],[reLabel]])))</f>
        <v/>
      </c>
      <c r="AI23" s="116" t="str">
        <f xml:space="preserve"> re_group( AI$4,,  Table4[[#This Row],[reHashSymbol]] &amp; Table4[[#This Row],[ReHashSymbolQ]] )</f>
        <v/>
      </c>
      <c r="AJ23" s="90"/>
      <c r="AK23" s="116" t="str">
        <f>re_group( AK$4,, re_bracket(1,, Table4[[#This Row],[reHashChars]]))</f>
        <v/>
      </c>
      <c r="AL23" s="87"/>
      <c r="AM23" s="116" t="str">
        <f>IFx(Table4[[#This Row],[noCalc]], "", re_group( AM$4,, re_tag_label_simple))</f>
        <v/>
      </c>
      <c r="AN23" s="80" t="str">
        <f>IFx(Table4[[#This Row],[noCalc]], "", re_group( AN$4,, re_tag_tail))</f>
        <v/>
      </c>
      <c r="AO23" s="80" t="str">
        <f>IFx(Table4[[#This Row],[noCalc]], "", re_group( AL$4,, re_tag_after))</f>
        <v/>
      </c>
      <c r="AP23" s="6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2:66">
      <c r="B24" s="49"/>
      <c r="C24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4" s="77" t="str">
        <f>IFx( Table4[[#This Row],[rule_name]], _xlfn.TEXTJOIN(" ",, "{", "include:", "'#" &amp; Table4[[#This Row],[rule_name]] &amp; "'", "}"))</f>
        <v/>
      </c>
      <c r="E24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4" s="78" t="str">
        <f>IF(Table4[[#This Row],[spirit]]="", "", re_surround(1,, "'", "'", SUBSTITUTE(meta_subscope_mask, spirit_placeholder, Table4[[#This Row],[spirit]])))</f>
        <v/>
      </c>
      <c r="G24" s="78" t="str">
        <f>IF(Table4[[#This Row],[spirit]]="", "", re_surround(1,, "'", "'", SUBSTITUTE(markup_subscope_mask, spirit_placeholder, Table4[[#This Row],[spirit]])))</f>
        <v/>
      </c>
      <c r="H24" s="79" t="str">
        <f>IF(Table4[[#This Row],[spirit]]="", "",  re_surround(1,, "'", "'",SUBSTITUTE(dynamic_subscope_mask, spirit_placeholder, Table4[[#This Row],[spirit]])))</f>
        <v/>
      </c>
      <c r="I24" s="99" t="str">
        <f>SUBSTITUTE(SUBSTITUTE(IF(Table4[[#This Row],[spirit]]="", "", Table4[[#This Row],[rule_name_pfx]] &amp; IF(Table4[[#This Row],[spirit]]="undef", "", Table4[[#This Row],[spirit]])), ".", "_"), "-", "_")</f>
        <v/>
      </c>
      <c r="J24" s="74"/>
      <c r="K24" s="74"/>
      <c r="L24" s="94"/>
      <c r="M24" s="91" t="s">
        <v>334</v>
      </c>
      <c r="N24" s="47" t="str">
        <f>"" &amp; IF( Table4[[#This Row],[use]] ="", "",  IFERROR(INDEX(TCfg, 0, MATCH(Table4[[#This Row],[use]], Table4[#Headers], 0)), ""))</f>
        <v>spirit-{{SPIRIT}}</v>
      </c>
      <c r="O24" s="47" t="s">
        <v>266</v>
      </c>
      <c r="P24" s="51" t="str">
        <f>_xlfn.TEXTJOIN("-",,spirit_prefix, spirit_placeholder)</f>
        <v>spirit-{{SPIRIT}}</v>
      </c>
      <c r="Q24" s="51"/>
      <c r="R24" s="80" t="b">
        <f>OR( Table4[[#This Row],[use]] = "", Table4[[#This Row],[use]] = "custom", Table4[[#This Row],[use]] = "alternate" )</f>
        <v>1</v>
      </c>
      <c r="S24" s="80" t="str">
        <f>re_surround(1,,"'", "'",  Table4[[#This Row],[re_escaped]])</f>
        <v/>
      </c>
      <c r="T24" s="80" t="str">
        <f>SUBSTITUTE(Table4[[#This Row],[regex]], "\", "\\")</f>
        <v/>
      </c>
      <c r="U24" s="115" t="str">
        <f>"|"</f>
        <v>|</v>
      </c>
      <c r="V24" s="80" t="str">
        <f>IFx(Table4[[#This Row],[noCalc]],"", IFx(Table4[[#This Row],[reSpan]], re_group( V$4, , Table4[[#This Row],[before]] &amp; Table4[[#This Row],[reSpan]] &amp; Table4[[#This Row],[after]])))</f>
        <v/>
      </c>
      <c r="W24" s="116" t="str">
        <f>IF(Table4[[#This Row],[noCalc]], "", re_group( T$4, , re_tag_before ))</f>
        <v/>
      </c>
      <c r="X24" s="80" t="str">
        <f>IFx( Table4[[#This Row],[noCalc]], "", IFx(  Table4[[#This Row],[reHashRef]], re_group(X$4,, Table4[[#This Row],[begin]] &amp; Table4[[#This Row],[reHashRef]] &amp; Table4[[#This Row],[end]])))</f>
        <v/>
      </c>
      <c r="Y24" s="80" t="str">
        <f>re_group(Y$4,, Table4[[#This Row],[rePrelude]])</f>
        <v/>
      </c>
      <c r="Z24" s="116" t="str">
        <f>IFx(Table4[[#This Row],[noCalc]], "", IFx(Table4[[#This Row],[reSpiritSymbolChars]], re_group(  Z$4,,  Table4[[#This Row],[reSpiritDesignator]] &amp; Table4[[#This Row],[reLevel]])))</f>
        <v/>
      </c>
      <c r="AA24" s="116" t="str">
        <f>IFx( Table4[[#This Row],[noCalc]], "", IFx(Table4[[#This Row],[reSpiritSymbolChars]], re_group(  AA$4,,  Table4[[#This Row],[reSpiritSymbol]]  &amp; Table4[[#This Row],[reSpiritSymbolQ]] ) ))</f>
        <v/>
      </c>
      <c r="AB24" s="47"/>
      <c r="AC24" s="47" t="str">
        <f>IFx( Table4[[#This Row],[noCalc]], "", IFx(Table4[[#This Row],[reSpiritSymbolChars]], re_group(  AC$4,, re_bracket(1,,  Table4[[#This Row],[reSpiritSymbolChars]]) )))</f>
        <v/>
      </c>
      <c r="AD24" s="35"/>
      <c r="AE24" s="116" t="str">
        <f>IF(Table4[[#This Row],[noCalc]], "",  IFx(Table4[[#This Row],[reLevelChars]],  re_group(  AE$4,,  re_group_no_capture( 1,, re_bracket(1,, Table4[[#This Row],[reLevelChars]])) &amp; "?")))</f>
        <v/>
      </c>
      <c r="AF24" s="47"/>
      <c r="AG24" s="47"/>
      <c r="AH24" s="80" t="str">
        <f>IFx(Table4[[#This Row],[noCalc]], "", IFx( Table4[[#This Row],[reRefType]], re_group( AH$4,,Table4[[#This Row],[reRefType]] &amp; Table4[[#This Row],[reLabel]])))</f>
        <v/>
      </c>
      <c r="AI24" s="116" t="str">
        <f xml:space="preserve"> re_group( AI$4,,  Table4[[#This Row],[reHashSymbol]] &amp; Table4[[#This Row],[ReHashSymbolQ]] )</f>
        <v/>
      </c>
      <c r="AJ24" s="90"/>
      <c r="AK24" s="116" t="str">
        <f>re_group( AK$4,, re_bracket(1,, Table4[[#This Row],[reHashChars]]))</f>
        <v/>
      </c>
      <c r="AL24" s="87"/>
      <c r="AM24" s="116" t="str">
        <f>IFx(Table4[[#This Row],[noCalc]], "", re_group( AM$4,, re_tag_label_simple))</f>
        <v/>
      </c>
      <c r="AN24" s="80" t="str">
        <f>IFx(Table4[[#This Row],[noCalc]], "", re_group( AN$4,, re_tag_tail))</f>
        <v/>
      </c>
      <c r="AO24" s="80" t="str">
        <f>IFx(Table4[[#This Row],[noCalc]], "", re_group( AL$4,, re_tag_after))</f>
        <v/>
      </c>
      <c r="AP24" s="6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2:66">
      <c r="B25" s="49"/>
      <c r="C25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5" s="77" t="str">
        <f>IFx( Table4[[#This Row],[rule_name]], _xlfn.TEXTJOIN(" ",, "{", "include:", "'#" &amp; Table4[[#This Row],[rule_name]] &amp; "'", "}"))</f>
        <v/>
      </c>
      <c r="E25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5" s="78" t="str">
        <f>IF(Table4[[#This Row],[spirit]]="", "", re_surround(1,, "'", "'", SUBSTITUTE(meta_subscope_mask, spirit_placeholder, Table4[[#This Row],[spirit]])))</f>
        <v/>
      </c>
      <c r="G25" s="78" t="str">
        <f>IF(Table4[[#This Row],[spirit]]="", "", re_surround(1,, "'", "'", SUBSTITUTE(markup_subscope_mask, spirit_placeholder, Table4[[#This Row],[spirit]])))</f>
        <v/>
      </c>
      <c r="H25" s="79" t="str">
        <f>IF(Table4[[#This Row],[spirit]]="", "",  re_surround(1,, "'", "'",SUBSTITUTE(dynamic_subscope_mask, spirit_placeholder, Table4[[#This Row],[spirit]])))</f>
        <v/>
      </c>
      <c r="I25" s="99" t="str">
        <f>SUBSTITUTE(SUBSTITUTE(IF(Table4[[#This Row],[spirit]]="", "", Table4[[#This Row],[rule_name_pfx]] &amp; IF(Table4[[#This Row],[spirit]]="undef", "", Table4[[#This Row],[spirit]])), ".", "_"), "-", "_")</f>
        <v/>
      </c>
      <c r="J25" s="74"/>
      <c r="K25" s="74"/>
      <c r="L25" s="94"/>
      <c r="M25" s="91" t="s">
        <v>336</v>
      </c>
      <c r="N25" s="47" t="str">
        <f>"" &amp; IF( Table4[[#This Row],[use]] ="", "",  IFERROR(INDEX(TCfg, 0, MATCH(Table4[[#This Row],[use]], Table4[#Headers], 0)), ""))</f>
        <v>standout.spirit-{{SPIRIT}}.spirit-marker-${3:/downcase}.spirit-symbol-${4:/downcase}.vigor-${5:/downcase}</v>
      </c>
      <c r="O25" s="47" t="s">
        <v>266</v>
      </c>
      <c r="P25" s="51" t="str">
        <f>_xlfn.TEXTJOIN(".",, "standout", spirit_spec, extra_spec)</f>
        <v>standout.spirit-{{SPIRIT}}.spirit-marker-${3:/downcase}.spirit-symbol-${4:/downcase}.vigor-${5:/downcase}</v>
      </c>
      <c r="Q25" s="51"/>
      <c r="R25" s="80" t="b">
        <f>OR( Table4[[#This Row],[use]] = "", Table4[[#This Row],[use]] = "custom", Table4[[#This Row],[use]] = "alternate" )</f>
        <v>1</v>
      </c>
      <c r="S25" s="80" t="str">
        <f>re_surround(1,,"'", "'",  Table4[[#This Row],[re_escaped]])</f>
        <v/>
      </c>
      <c r="T25" s="80" t="str">
        <f>SUBSTITUTE(Table4[[#This Row],[regex]], "\", "\\")</f>
        <v/>
      </c>
      <c r="U25" s="115" t="str">
        <f>"|"</f>
        <v>|</v>
      </c>
      <c r="V25" s="80" t="str">
        <f>IFx(Table4[[#This Row],[noCalc]],"", IFx(Table4[[#This Row],[reSpan]], re_group( V$4, , Table4[[#This Row],[before]] &amp; Table4[[#This Row],[reSpan]] &amp; Table4[[#This Row],[after]])))</f>
        <v/>
      </c>
      <c r="W25" s="116" t="str">
        <f>IF(Table4[[#This Row],[noCalc]], "", re_group( T$4, , re_tag_before ))</f>
        <v/>
      </c>
      <c r="X25" s="80" t="str">
        <f>IFx( Table4[[#This Row],[noCalc]], "", IFx(  Table4[[#This Row],[reHashRef]], re_group(X$4,, Table4[[#This Row],[begin]] &amp; Table4[[#This Row],[reHashRef]] &amp; Table4[[#This Row],[end]])))</f>
        <v/>
      </c>
      <c r="Y25" s="80" t="str">
        <f>re_group(Y$4,, Table4[[#This Row],[rePrelude]])</f>
        <v/>
      </c>
      <c r="Z25" s="116" t="str">
        <f>IFx(Table4[[#This Row],[noCalc]], "", IFx(Table4[[#This Row],[reSpiritSymbolChars]], re_group(  Z$4,,  Table4[[#This Row],[reSpiritDesignator]] &amp; Table4[[#This Row],[reLevel]])))</f>
        <v/>
      </c>
      <c r="AA25" s="116" t="str">
        <f>IFx( Table4[[#This Row],[noCalc]], "", IFx(Table4[[#This Row],[reSpiritSymbolChars]], re_group(  AA$4,,  Table4[[#This Row],[reSpiritSymbol]]  &amp; Table4[[#This Row],[reSpiritSymbolQ]] ) ))</f>
        <v/>
      </c>
      <c r="AB25" s="47"/>
      <c r="AC25" s="47" t="str">
        <f>IFx( Table4[[#This Row],[noCalc]], "", IFx(Table4[[#This Row],[reSpiritSymbolChars]], re_group(  AC$4,, re_bracket(1,,  Table4[[#This Row],[reSpiritSymbolChars]]) )))</f>
        <v/>
      </c>
      <c r="AD25" s="35"/>
      <c r="AE25" s="116" t="str">
        <f>IF(Table4[[#This Row],[noCalc]], "",  IFx(Table4[[#This Row],[reLevelChars]],  re_group(  AE$4,,  re_group_no_capture( 1,, re_bracket(1,, Table4[[#This Row],[reLevelChars]])) &amp; "?")))</f>
        <v/>
      </c>
      <c r="AF25" s="47"/>
      <c r="AG25" s="47"/>
      <c r="AH25" s="80" t="str">
        <f>IFx(Table4[[#This Row],[noCalc]], "", IFx( Table4[[#This Row],[reRefType]], re_group( AH$4,,Table4[[#This Row],[reRefType]] &amp; Table4[[#This Row],[reLabel]])))</f>
        <v/>
      </c>
      <c r="AI25" s="116" t="str">
        <f xml:space="preserve"> re_group( AI$4,,  Table4[[#This Row],[reHashSymbol]] &amp; Table4[[#This Row],[ReHashSymbolQ]] )</f>
        <v/>
      </c>
      <c r="AJ25" s="90"/>
      <c r="AK25" s="116" t="str">
        <f>re_group( AK$4,, re_bracket(1,, Table4[[#This Row],[reHashChars]]))</f>
        <v/>
      </c>
      <c r="AL25" s="87"/>
      <c r="AM25" s="116" t="str">
        <f>IFx(Table4[[#This Row],[noCalc]], "", re_group( AM$4,, re_tag_label_simple))</f>
        <v/>
      </c>
      <c r="AN25" s="80" t="str">
        <f>IFx(Table4[[#This Row],[noCalc]], "", re_group( AN$4,, re_tag_tail))</f>
        <v/>
      </c>
      <c r="AO25" s="80" t="str">
        <f>IFx(Table4[[#This Row],[noCalc]], "", re_group( AL$4,, re_tag_after))</f>
        <v/>
      </c>
      <c r="AP25" s="6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2:66">
      <c r="B26" s="49"/>
      <c r="C26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6" s="77" t="str">
        <f>IFx( Table4[[#This Row],[rule_name]], _xlfn.TEXTJOIN(" ",, "{", "include:", "'#" &amp; Table4[[#This Row],[rule_name]] &amp; "'", "}"))</f>
        <v/>
      </c>
      <c r="E26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6" s="78" t="str">
        <f>IF(Table4[[#This Row],[spirit]]="", "", re_surround(1,, "'", "'", SUBSTITUTE(meta_subscope_mask, spirit_placeholder, Table4[[#This Row],[spirit]])))</f>
        <v/>
      </c>
      <c r="G26" s="78" t="str">
        <f>IF(Table4[[#This Row],[spirit]]="", "", re_surround(1,, "'", "'", SUBSTITUTE(markup_subscope_mask, spirit_placeholder, Table4[[#This Row],[spirit]])))</f>
        <v/>
      </c>
      <c r="H26" s="79" t="str">
        <f>IF(Table4[[#This Row],[spirit]]="", "",  re_surround(1,, "'", "'",SUBSTITUTE(dynamic_subscope_mask, spirit_placeholder, Table4[[#This Row],[spirit]])))</f>
        <v/>
      </c>
      <c r="I26" s="99" t="str">
        <f>SUBSTITUTE(SUBSTITUTE(IF(Table4[[#This Row],[spirit]]="", "", Table4[[#This Row],[rule_name_pfx]] &amp; IF(Table4[[#This Row],[spirit]]="undef", "", Table4[[#This Row],[spirit]])), ".", "_"), "-", "_")</f>
        <v/>
      </c>
      <c r="J26" s="74"/>
      <c r="K26" s="74"/>
      <c r="L26" s="94"/>
      <c r="M26" s="91"/>
      <c r="N26" s="47"/>
      <c r="O26" s="47"/>
      <c r="P26" s="51"/>
      <c r="Q26" s="51"/>
      <c r="R26" s="80" t="b">
        <f>OR( Table4[[#This Row],[use]] = "", Table4[[#This Row],[use]] = "custom", Table4[[#This Row],[use]] = "alternate" )</f>
        <v>1</v>
      </c>
      <c r="S26" s="80" t="str">
        <f>re_surround(1,,"'", "'",  Table4[[#This Row],[re_escaped]])</f>
        <v/>
      </c>
      <c r="T26" s="80" t="str">
        <f>SUBSTITUTE(Table4[[#This Row],[regex]], "\", "\\")</f>
        <v/>
      </c>
      <c r="U26" s="115" t="str">
        <f>"|"</f>
        <v>|</v>
      </c>
      <c r="V26" s="80" t="str">
        <f>IFx(Table4[[#This Row],[noCalc]],"", IFx(Table4[[#This Row],[reSpan]], re_group( V$4, , Table4[[#This Row],[before]] &amp; Table4[[#This Row],[reSpan]] &amp; Table4[[#This Row],[after]])))</f>
        <v/>
      </c>
      <c r="W26" s="116" t="str">
        <f>IF(Table4[[#This Row],[noCalc]], "", re_group( T$4, , re_tag_before ))</f>
        <v/>
      </c>
      <c r="X26" s="80" t="str">
        <f>IFx( Table4[[#This Row],[noCalc]], "", IFx(  Table4[[#This Row],[reHashRef]], re_group(X$4,, Table4[[#This Row],[begin]] &amp; Table4[[#This Row],[reHashRef]] &amp; Table4[[#This Row],[end]])))</f>
        <v/>
      </c>
      <c r="Y26" s="80" t="str">
        <f>re_group(Y$4,, Table4[[#This Row],[rePrelude]])</f>
        <v/>
      </c>
      <c r="Z26" s="116" t="str">
        <f>IFx(Table4[[#This Row],[noCalc]], "", IFx(Table4[[#This Row],[reSpiritSymbolChars]], re_group(  Z$4,,  Table4[[#This Row],[reSpiritDesignator]] &amp; Table4[[#This Row],[reLevel]])))</f>
        <v/>
      </c>
      <c r="AA26" s="116" t="str">
        <f>IFx( Table4[[#This Row],[noCalc]], "", IFx(Table4[[#This Row],[reSpiritSymbolChars]], re_group(  AA$4,,  Table4[[#This Row],[reSpiritSymbol]]  &amp; Table4[[#This Row],[reSpiritSymbolQ]] ) ))</f>
        <v/>
      </c>
      <c r="AB26" s="47"/>
      <c r="AC26" s="47" t="str">
        <f>IFx( Table4[[#This Row],[noCalc]], "", IFx(Table4[[#This Row],[reSpiritSymbolChars]], re_group(  AC$4,, re_bracket(1,,  Table4[[#This Row],[reSpiritSymbolChars]]) )))</f>
        <v/>
      </c>
      <c r="AD26" s="35"/>
      <c r="AE26" s="116" t="str">
        <f>IF(Table4[[#This Row],[noCalc]], "",  IFx(Table4[[#This Row],[reLevelChars]],  re_group(  AE$4,,  re_group_no_capture( 1,, re_bracket(1,, Table4[[#This Row],[reLevelChars]])) &amp; "?")))</f>
        <v/>
      </c>
      <c r="AF26" s="47"/>
      <c r="AG26" s="47"/>
      <c r="AH26" s="80" t="str">
        <f>IFx(Table4[[#This Row],[noCalc]], "", IFx( Table4[[#This Row],[reRefType]], re_group( AH$4,,Table4[[#This Row],[reRefType]] &amp; Table4[[#This Row],[reLabel]])))</f>
        <v/>
      </c>
      <c r="AI26" s="116" t="str">
        <f xml:space="preserve"> re_group( AI$4,,  Table4[[#This Row],[reHashSymbol]] &amp; Table4[[#This Row],[ReHashSymbolQ]] )</f>
        <v/>
      </c>
      <c r="AJ26" s="90"/>
      <c r="AK26" s="116" t="str">
        <f>re_group( AK$4,, re_bracket(1,, Table4[[#This Row],[reHashChars]]))</f>
        <v/>
      </c>
      <c r="AL26" s="87"/>
      <c r="AM26" s="116" t="str">
        <f>IFx(Table4[[#This Row],[noCalc]], "", re_group( AM$4,, re_tag_label_simple))</f>
        <v/>
      </c>
      <c r="AN26" s="80" t="str">
        <f>IFx(Table4[[#This Row],[noCalc]], "", re_group( AN$4,, re_tag_tail))</f>
        <v/>
      </c>
      <c r="AO26" s="80" t="str">
        <f>IFx(Table4[[#This Row],[noCalc]], "", re_group( AL$4,, re_tag_after))</f>
        <v/>
      </c>
      <c r="AP26" s="6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2:66">
      <c r="B27" s="49"/>
      <c r="C27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7" s="77" t="str">
        <f>IFx( Table4[[#This Row],[rule_name]], _xlfn.TEXTJOIN(" ",, "{", "include:", "'#" &amp; Table4[[#This Row],[rule_name]] &amp; "'", "}"))</f>
        <v/>
      </c>
      <c r="E27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7" s="78" t="str">
        <f>IF(Table4[[#This Row],[spirit]]="", "", re_surround(1,, "'", "'", SUBSTITUTE(meta_subscope_mask, spirit_placeholder, Table4[[#This Row],[spirit]])))</f>
        <v/>
      </c>
      <c r="G27" s="78" t="str">
        <f>IF(Table4[[#This Row],[spirit]]="", "", re_surround(1,, "'", "'", SUBSTITUTE(markup_subscope_mask, spirit_placeholder, Table4[[#This Row],[spirit]])))</f>
        <v/>
      </c>
      <c r="H27" s="79" t="str">
        <f>IF(Table4[[#This Row],[spirit]]="", "",  re_surround(1,, "'", "'",SUBSTITUTE(dynamic_subscope_mask, spirit_placeholder, Table4[[#This Row],[spirit]])))</f>
        <v/>
      </c>
      <c r="I27" s="99" t="str">
        <f>SUBSTITUTE(SUBSTITUTE(IF(Table4[[#This Row],[spirit]]="", "", Table4[[#This Row],[rule_name_pfx]] &amp; IF(Table4[[#This Row],[spirit]]="undef", "", Table4[[#This Row],[spirit]])), ".", "_"), "-", "_")</f>
        <v/>
      </c>
      <c r="J27" s="74"/>
      <c r="K27" s="74"/>
      <c r="L27" s="94"/>
      <c r="M27" s="91" t="s">
        <v>333</v>
      </c>
      <c r="N27" s="47" t="str">
        <f>"" &amp; IF( Table4[[#This Row],[use]] ="", "",  IFERROR(INDEX(TCfg, 0, MATCH(Table4[[#This Row],[use]], Table4[#Headers], 0)), ""))</f>
        <v>meta.notelet.spirit-{{SPIRIT}}.text.noted</v>
      </c>
      <c r="O27" s="47" t="s">
        <v>266</v>
      </c>
      <c r="P27" s="35" t="str">
        <f>_xlfn.TEXTJOIN(".",, "meta",  ename,  spirit_spec,  scope_suffix)</f>
        <v>meta.notelet.spirit-{{SPIRIT}}.text.noted</v>
      </c>
      <c r="Q27" s="35"/>
      <c r="R27" s="80" t="b">
        <f>OR( Table4[[#This Row],[use]] = "", Table4[[#This Row],[use]] = "custom", Table4[[#This Row],[use]] = "alternate" )</f>
        <v>1</v>
      </c>
      <c r="S27" s="80" t="str">
        <f>re_surround(1,,"'", "'",  Table4[[#This Row],[re_escaped]])</f>
        <v/>
      </c>
      <c r="T27" s="80" t="str">
        <f>SUBSTITUTE(Table4[[#This Row],[regex]], "\", "\\")</f>
        <v/>
      </c>
      <c r="U27" s="115" t="str">
        <f>"|"</f>
        <v>|</v>
      </c>
      <c r="V27" s="80" t="str">
        <f>IFx(Table4[[#This Row],[noCalc]],"", IFx(Table4[[#This Row],[reSpan]], re_group( V$4, , Table4[[#This Row],[before]] &amp; Table4[[#This Row],[reSpan]] &amp; Table4[[#This Row],[after]])))</f>
        <v/>
      </c>
      <c r="W27" s="116" t="str">
        <f>IF(Table4[[#This Row],[noCalc]], "", re_group( T$4, , re_tag_before ))</f>
        <v/>
      </c>
      <c r="X27" s="80" t="str">
        <f>IFx( Table4[[#This Row],[noCalc]], "", IFx(  Table4[[#This Row],[reHashRef]], re_group(X$4,, Table4[[#This Row],[begin]] &amp; Table4[[#This Row],[reHashRef]] &amp; Table4[[#This Row],[end]])))</f>
        <v/>
      </c>
      <c r="Y27" s="80" t="str">
        <f>re_group(Y$4,, Table4[[#This Row],[rePrelude]])</f>
        <v/>
      </c>
      <c r="Z27" s="116" t="str">
        <f>IFx(Table4[[#This Row],[noCalc]], "", IFx(Table4[[#This Row],[reSpiritSymbolChars]], re_group(  Z$4,,  Table4[[#This Row],[reSpiritDesignator]] &amp; Table4[[#This Row],[reLevel]])))</f>
        <v/>
      </c>
      <c r="AA27" s="116" t="str">
        <f>IFx( Table4[[#This Row],[noCalc]], "", IFx(Table4[[#This Row],[reSpiritSymbolChars]], re_group(  AA$4,,  Table4[[#This Row],[reSpiritSymbol]]  &amp; Table4[[#This Row],[reSpiritSymbolQ]] ) ))</f>
        <v/>
      </c>
      <c r="AB27" s="47"/>
      <c r="AC27" s="47" t="str">
        <f>IFx( Table4[[#This Row],[noCalc]], "", IFx(Table4[[#This Row],[reSpiritSymbolChars]], re_group(  AC$4,, re_bracket(1,,  Table4[[#This Row],[reSpiritSymbolChars]]) )))</f>
        <v/>
      </c>
      <c r="AD27" s="35"/>
      <c r="AE27" s="116" t="str">
        <f>IF(Table4[[#This Row],[noCalc]], "",  IFx(Table4[[#This Row],[reLevelChars]],  re_group(  AE$4,,  re_group_no_capture( 1,, re_bracket(1,, Table4[[#This Row],[reLevelChars]])) &amp; "?")))</f>
        <v/>
      </c>
      <c r="AF27" s="47"/>
      <c r="AG27" s="47"/>
      <c r="AH27" s="80" t="str">
        <f>IFx(Table4[[#This Row],[noCalc]], "", IFx( Table4[[#This Row],[reRefType]], re_group( AH$4,,Table4[[#This Row],[reRefType]] &amp; Table4[[#This Row],[reLabel]])))</f>
        <v/>
      </c>
      <c r="AI27" s="116" t="str">
        <f xml:space="preserve"> re_group( AI$4,,  Table4[[#This Row],[reHashSymbol]] &amp; Table4[[#This Row],[ReHashSymbolQ]] )</f>
        <v/>
      </c>
      <c r="AJ27" s="90"/>
      <c r="AK27" s="116" t="str">
        <f>re_group( AK$4,, re_bracket(1,, Table4[[#This Row],[reHashChars]]))</f>
        <v/>
      </c>
      <c r="AL27" s="87"/>
      <c r="AM27" s="116" t="str">
        <f>IFx(Table4[[#This Row],[noCalc]], "", re_group( AM$4,, re_tag_label_simple))</f>
        <v/>
      </c>
      <c r="AN27" s="80" t="str">
        <f>IFx(Table4[[#This Row],[noCalc]], "", re_group( AN$4,, re_tag_tail))</f>
        <v/>
      </c>
      <c r="AO27" s="80" t="str">
        <f>IFx(Table4[[#This Row],[noCalc]], "", re_group( AL$4,, re_tag_after))</f>
        <v/>
      </c>
      <c r="AP27" s="6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2:66">
      <c r="B28" s="49"/>
      <c r="C28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8" s="77" t="str">
        <f>IFx( Table4[[#This Row],[rule_name]], _xlfn.TEXTJOIN(" ",, "{", "include:", "'#" &amp; Table4[[#This Row],[rule_name]] &amp; "'", "}"))</f>
        <v/>
      </c>
      <c r="E28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8" s="78" t="str">
        <f>IF(Table4[[#This Row],[spirit]]="", "", re_surround(1,, "'", "'", SUBSTITUTE(meta_subscope_mask, spirit_placeholder, Table4[[#This Row],[spirit]])))</f>
        <v/>
      </c>
      <c r="G28" s="78" t="str">
        <f>IF(Table4[[#This Row],[spirit]]="", "", re_surround(1,, "'", "'", SUBSTITUTE(markup_subscope_mask, spirit_placeholder, Table4[[#This Row],[spirit]])))</f>
        <v/>
      </c>
      <c r="H28" s="79" t="str">
        <f>IF(Table4[[#This Row],[spirit]]="", "",  re_surround(1,, "'", "'",SUBSTITUTE(dynamic_subscope_mask, spirit_placeholder, Table4[[#This Row],[spirit]])))</f>
        <v/>
      </c>
      <c r="I28" s="99" t="str">
        <f>SUBSTITUTE(SUBSTITUTE(IF(Table4[[#This Row],[spirit]]="", "", Table4[[#This Row],[rule_name_pfx]] &amp; IF(Table4[[#This Row],[spirit]]="undef", "", Table4[[#This Row],[spirit]])), ".", "_"), "-", "_")</f>
        <v/>
      </c>
      <c r="J28" s="74"/>
      <c r="K28" s="74"/>
      <c r="L28" s="94"/>
      <c r="M28" s="91" t="s">
        <v>331</v>
      </c>
      <c r="N28" s="47" t="str">
        <f>"" &amp; IF( Table4[[#This Row],[use]] ="", "",  IFERROR(INDEX(TCfg, 0, MATCH(Table4[[#This Row],[use]], Table4[#Headers], 0)), ""))</f>
        <v/>
      </c>
      <c r="O28" s="47" t="s">
        <v>346</v>
      </c>
      <c r="P28" s="35" t="str">
        <f>_xlfn.TEXTJOIN(".",, "storage.type.class.${1:/downcase}", spirit_spec_full, scope_suffix)</f>
        <v>storage.type.class.${1:/downcase}.standout.spirit-{{SPIRIT}}.spirit-marker-${3:/downcase}.spirit-symbol-${4:/downcase}.vigor-${5:/downcase}.text.noted</v>
      </c>
      <c r="Q28" s="35"/>
      <c r="R28" s="80" t="b">
        <f>OR( Table4[[#This Row],[use]] = "", Table4[[#This Row],[use]] = "custom", Table4[[#This Row],[use]] = "alternate" )</f>
        <v>1</v>
      </c>
      <c r="S28" s="80" t="str">
        <f>re_surround(1,,"'", "'",  Table4[[#This Row],[re_escaped]])</f>
        <v/>
      </c>
      <c r="T28" s="80" t="str">
        <f>SUBSTITUTE(Table4[[#This Row],[regex]], "\", "\\")</f>
        <v/>
      </c>
      <c r="U28" s="115" t="str">
        <f>"|"</f>
        <v>|</v>
      </c>
      <c r="V28" s="80" t="str">
        <f>IFx(Table4[[#This Row],[noCalc]],"", IFx(Table4[[#This Row],[reSpan]], re_group( V$4, , Table4[[#This Row],[before]] &amp; Table4[[#This Row],[reSpan]] &amp; Table4[[#This Row],[after]])))</f>
        <v/>
      </c>
      <c r="W28" s="116" t="str">
        <f>IF(Table4[[#This Row],[noCalc]], "", re_group( T$4, , re_tag_before ))</f>
        <v/>
      </c>
      <c r="X28" s="80" t="str">
        <f>IFx( Table4[[#This Row],[noCalc]], "", IFx(  Table4[[#This Row],[reHashRef]], re_group(X$4,, Table4[[#This Row],[begin]] &amp; Table4[[#This Row],[reHashRef]] &amp; Table4[[#This Row],[end]])))</f>
        <v/>
      </c>
      <c r="Y28" s="80" t="str">
        <f>re_group(Y$4,, Table4[[#This Row],[rePrelude]])</f>
        <v/>
      </c>
      <c r="Z28" s="116" t="str">
        <f>IFx(Table4[[#This Row],[noCalc]], "", IFx(Table4[[#This Row],[reSpiritSymbolChars]], re_group(  Z$4,,  Table4[[#This Row],[reSpiritDesignator]] &amp; Table4[[#This Row],[reLevel]])))</f>
        <v/>
      </c>
      <c r="AA28" s="116" t="str">
        <f>IFx( Table4[[#This Row],[noCalc]], "", IFx(Table4[[#This Row],[reSpiritSymbolChars]], re_group(  AA$4,,  Table4[[#This Row],[reSpiritSymbol]]  &amp; Table4[[#This Row],[reSpiritSymbolQ]] ) ))</f>
        <v/>
      </c>
      <c r="AB28" s="47"/>
      <c r="AC28" s="47" t="str">
        <f>IFx( Table4[[#This Row],[noCalc]], "", IFx(Table4[[#This Row],[reSpiritSymbolChars]], re_group(  AC$4,, re_bracket(1,,  Table4[[#This Row],[reSpiritSymbolChars]]) )))</f>
        <v/>
      </c>
      <c r="AD28" s="35"/>
      <c r="AE28" s="116" t="str">
        <f>IF(Table4[[#This Row],[noCalc]], "",  IFx(Table4[[#This Row],[reLevelChars]],  re_group(  AE$4,,  re_group_no_capture( 1,, re_bracket(1,, Table4[[#This Row],[reLevelChars]])) &amp; "?")))</f>
        <v/>
      </c>
      <c r="AF28" s="47"/>
      <c r="AG28" s="47"/>
      <c r="AH28" s="80" t="str">
        <f>IFx(Table4[[#This Row],[noCalc]], "", IFx( Table4[[#This Row],[reRefType]], re_group( AH$4,,Table4[[#This Row],[reRefType]] &amp; Table4[[#This Row],[reLabel]])))</f>
        <v/>
      </c>
      <c r="AI28" s="116" t="str">
        <f xml:space="preserve"> re_group( AI$4,,  Table4[[#This Row],[reHashSymbol]] &amp; Table4[[#This Row],[ReHashSymbolQ]] )</f>
        <v/>
      </c>
      <c r="AJ28" s="90"/>
      <c r="AK28" s="116" t="str">
        <f>re_group( AK$4,, re_bracket(1,, Table4[[#This Row],[reHashChars]]))</f>
        <v/>
      </c>
      <c r="AL28" s="87"/>
      <c r="AM28" s="116" t="str">
        <f>IFx(Table4[[#This Row],[noCalc]], "", re_group( AM$4,, re_tag_label_simple))</f>
        <v/>
      </c>
      <c r="AN28" s="80" t="str">
        <f>IFx(Table4[[#This Row],[noCalc]], "", re_group( AN$4,, re_tag_tail))</f>
        <v/>
      </c>
      <c r="AO28" s="80" t="str">
        <f>IFx(Table4[[#This Row],[noCalc]], "", re_group( AL$4,, re_tag_after))</f>
        <v/>
      </c>
      <c r="AP28" s="6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2:66">
      <c r="B29" s="49"/>
      <c r="C29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29" s="77" t="str">
        <f>IFx( Table4[[#This Row],[rule_name]], _xlfn.TEXTJOIN(" ",, "{", "include:", "'#" &amp; Table4[[#This Row],[rule_name]] &amp; "'", "}"))</f>
        <v/>
      </c>
      <c r="E29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29" s="114" t="str">
        <f>IF(Table4[[#This Row],[spirit]]="", "", re_surround(1,, "'", "'", SUBSTITUTE(meta_subscope_mask, spirit_placeholder, Table4[[#This Row],[spirit]])))</f>
        <v/>
      </c>
      <c r="G29" s="78" t="str">
        <f>IF(Table4[[#This Row],[spirit]]="", "", re_surround(1,, "'", "'", SUBSTITUTE(markup_subscope_mask, spirit_placeholder, Table4[[#This Row],[spirit]])))</f>
        <v/>
      </c>
      <c r="H29" s="79" t="str">
        <f>IF(Table4[[#This Row],[spirit]]="", "",  re_surround(1,, "'", "'",SUBSTITUTE(dynamic_subscope_mask, spirit_placeholder, Table4[[#This Row],[spirit]])))</f>
        <v/>
      </c>
      <c r="I29" s="99" t="str">
        <f>SUBSTITUTE(SUBSTITUTE(IF(Table4[[#This Row],[spirit]]="", "", Table4[[#This Row],[rule_name_pfx]] &amp; IF(Table4[[#This Row],[spirit]]="undef", "", Table4[[#This Row],[spirit]])), ".", "_"), "-", "_")</f>
        <v/>
      </c>
      <c r="J29" s="74"/>
      <c r="K29" s="74"/>
      <c r="L29" s="94"/>
      <c r="M29" s="91" t="s">
        <v>332</v>
      </c>
      <c r="N29" s="47" t="str">
        <f>"" &amp; IF( Table4[[#This Row],[use]] ="", "",  IFERROR(INDEX(TCfg, 0, MATCH(Table4[[#This Row],[use]], Table4[#Headers], 0)), ""))</f>
        <v>markup.standout.spirit-{{SPIRIT}}.spirit-marker-${3:/downcase}.spirit-symbol-${4:/downcase}.vigor-${5:/downcase}.text.noted</v>
      </c>
      <c r="O29" s="47" t="s">
        <v>266</v>
      </c>
      <c r="P29" s="35" t="str">
        <f>_xlfn.TEXTJOIN(".",, "markup", spirit_spec_full, scope_suffix)</f>
        <v>markup.standout.spirit-{{SPIRIT}}.spirit-marker-${3:/downcase}.spirit-symbol-${4:/downcase}.vigor-${5:/downcase}.text.noted</v>
      </c>
      <c r="Q29" s="35"/>
      <c r="R29" s="80" t="b">
        <f>OR( Table4[[#This Row],[use]] = "", Table4[[#This Row],[use]] = "custom", Table4[[#This Row],[use]] = "alternate" )</f>
        <v>1</v>
      </c>
      <c r="S29" s="80" t="str">
        <f>re_surround(1,,"'", "'",  Table4[[#This Row],[re_escaped]])</f>
        <v/>
      </c>
      <c r="T29" s="80" t="str">
        <f>SUBSTITUTE(Table4[[#This Row],[regex]], "\", "\\")</f>
        <v/>
      </c>
      <c r="U29" s="115" t="str">
        <f>"|"</f>
        <v>|</v>
      </c>
      <c r="V29" s="80" t="str">
        <f>IFx(Table4[[#This Row],[noCalc]],"", IFx(Table4[[#This Row],[reSpan]], re_group( V$4, , Table4[[#This Row],[before]] &amp; Table4[[#This Row],[reSpan]] &amp; Table4[[#This Row],[after]])))</f>
        <v/>
      </c>
      <c r="W29" s="116" t="str">
        <f>IF(Table4[[#This Row],[noCalc]], "", re_group( T$4, , re_tag_before ))</f>
        <v/>
      </c>
      <c r="X29" s="80" t="str">
        <f>IFx( Table4[[#This Row],[noCalc]], "", IFx(  Table4[[#This Row],[reHashRef]], re_group(X$4,, Table4[[#This Row],[begin]] &amp; Table4[[#This Row],[reHashRef]] &amp; Table4[[#This Row],[end]])))</f>
        <v/>
      </c>
      <c r="Y29" s="80" t="str">
        <f>re_group(Y$4,, Table4[[#This Row],[rePrelude]])</f>
        <v/>
      </c>
      <c r="Z29" s="116" t="str">
        <f>IFx(Table4[[#This Row],[noCalc]], "", IFx(Table4[[#This Row],[reSpiritSymbolChars]], re_group(  Z$4,,  Table4[[#This Row],[reSpiritDesignator]] &amp; Table4[[#This Row],[reLevel]])))</f>
        <v/>
      </c>
      <c r="AA29" s="116" t="str">
        <f>IFx( Table4[[#This Row],[noCalc]], "", IFx(Table4[[#This Row],[reSpiritSymbolChars]], re_group(  AA$4,,  Table4[[#This Row],[reSpiritSymbol]]  &amp; Table4[[#This Row],[reSpiritSymbolQ]] ) ))</f>
        <v/>
      </c>
      <c r="AB29" s="47"/>
      <c r="AC29" s="47" t="str">
        <f>IFx( Table4[[#This Row],[noCalc]], "", IFx(Table4[[#This Row],[reSpiritSymbolChars]], re_group(  AC$4,, re_bracket(1,,  Table4[[#This Row],[reSpiritSymbolChars]]) )))</f>
        <v/>
      </c>
      <c r="AD29" s="35"/>
      <c r="AE29" s="116" t="str">
        <f>IF(Table4[[#This Row],[noCalc]], "",  IFx(Table4[[#This Row],[reLevelChars]],  re_group(  AE$4,,  re_group_no_capture( 1,, re_bracket(1,, Table4[[#This Row],[reLevelChars]])) &amp; "?")))</f>
        <v/>
      </c>
      <c r="AF29" s="47"/>
      <c r="AG29" s="47"/>
      <c r="AH29" s="80" t="str">
        <f>IFx(Table4[[#This Row],[noCalc]], "", IFx( Table4[[#This Row],[reRefType]], re_group( AH$4,,Table4[[#This Row],[reRefType]] &amp; Table4[[#This Row],[reLabel]])))</f>
        <v/>
      </c>
      <c r="AI29" s="116" t="str">
        <f xml:space="preserve"> re_group( AI$4,,  Table4[[#This Row],[reHashSymbol]] &amp; Table4[[#This Row],[ReHashSymbolQ]] )</f>
        <v/>
      </c>
      <c r="AJ29" s="90"/>
      <c r="AK29" s="116" t="str">
        <f>re_group( AK$4,, re_bracket(1,, Table4[[#This Row],[reHashChars]]))</f>
        <v/>
      </c>
      <c r="AL29" s="87"/>
      <c r="AM29" s="116" t="str">
        <f>IFx(Table4[[#This Row],[noCalc]], "", re_group( AM$4,, re_tag_label_simple))</f>
        <v/>
      </c>
      <c r="AN29" s="80" t="str">
        <f>IFx(Table4[[#This Row],[noCalc]], "", re_group( AN$4,, re_tag_tail))</f>
        <v/>
      </c>
      <c r="AO29" s="80" t="str">
        <f>IFx(Table4[[#This Row],[noCalc]], "", re_group( AL$4,, re_tag_after))</f>
        <v/>
      </c>
      <c r="AP29" s="6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2:66">
      <c r="B30" s="49"/>
      <c r="C30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0" s="77" t="str">
        <f>IFx( Table4[[#This Row],[rule_name]], _xlfn.TEXTJOIN(" ",, "{", "include:", "'#" &amp; Table4[[#This Row],[rule_name]] &amp; "'", "}"))</f>
        <v/>
      </c>
      <c r="E30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0" s="78" t="str">
        <f>IF(Table4[[#This Row],[spirit]]="", "", re_surround(1,, "'", "'", SUBSTITUTE(meta_subscope_mask, spirit_placeholder, Table4[[#This Row],[spirit]])))</f>
        <v/>
      </c>
      <c r="G30" s="78" t="str">
        <f>IF(Table4[[#This Row],[spirit]]="", "", re_surround(1,, "'", "'", SUBSTITUTE(markup_subscope_mask, spirit_placeholder, Table4[[#This Row],[spirit]])))</f>
        <v/>
      </c>
      <c r="H30" s="79" t="str">
        <f>IF(Table4[[#This Row],[spirit]]="", "",  re_surround(1,, "'", "'",SUBSTITUTE(dynamic_subscope_mask, spirit_placeholder, Table4[[#This Row],[spirit]])))</f>
        <v/>
      </c>
      <c r="I30" s="99" t="str">
        <f>SUBSTITUTE(SUBSTITUTE(IF(Table4[[#This Row],[spirit]]="", "", Table4[[#This Row],[rule_name_pfx]] &amp; IF(Table4[[#This Row],[spirit]]="undef", "", Table4[[#This Row],[spirit]])), ".", "_"), "-", "_")</f>
        <v/>
      </c>
      <c r="J30" s="74"/>
      <c r="K30" s="74"/>
      <c r="L30" s="94"/>
      <c r="M30" s="91"/>
      <c r="N30" s="47"/>
      <c r="O30" s="47"/>
      <c r="P30" s="35"/>
      <c r="Q30" s="35"/>
      <c r="R30" s="80" t="b">
        <f>OR( Table4[[#This Row],[use]] = "", Table4[[#This Row],[use]] = "custom", Table4[[#This Row],[use]] = "alternate" )</f>
        <v>1</v>
      </c>
      <c r="S30" s="80" t="str">
        <f>re_surround(1,,"'", "'",  Table4[[#This Row],[re_escaped]])</f>
        <v/>
      </c>
      <c r="T30" s="80" t="str">
        <f>SUBSTITUTE(Table4[[#This Row],[regex]], "\", "\\")</f>
        <v/>
      </c>
      <c r="U30" s="115" t="str">
        <f>"|"</f>
        <v>|</v>
      </c>
      <c r="V30" s="80" t="str">
        <f>IFx(Table4[[#This Row],[noCalc]],"", IFx(Table4[[#This Row],[reSpan]], re_group( V$4, , Table4[[#This Row],[before]] &amp; Table4[[#This Row],[reSpan]] &amp; Table4[[#This Row],[after]])))</f>
        <v/>
      </c>
      <c r="W30" s="116" t="str">
        <f>IF(Table4[[#This Row],[noCalc]], "", re_group( T$4, , re_tag_before ))</f>
        <v/>
      </c>
      <c r="X30" s="80" t="str">
        <f>IFx( Table4[[#This Row],[noCalc]], "", IFx(  Table4[[#This Row],[reHashRef]], re_group(X$4,, Table4[[#This Row],[begin]] &amp; Table4[[#This Row],[reHashRef]] &amp; Table4[[#This Row],[end]])))</f>
        <v/>
      </c>
      <c r="Y30" s="80" t="str">
        <f>re_group(Y$4,, Table4[[#This Row],[rePrelude]])</f>
        <v/>
      </c>
      <c r="Z30" s="116" t="str">
        <f>IFx(Table4[[#This Row],[noCalc]], "", IFx(Table4[[#This Row],[reSpiritSymbolChars]], re_group(  Z$4,,  Table4[[#This Row],[reSpiritDesignator]] &amp; Table4[[#This Row],[reLevel]])))</f>
        <v/>
      </c>
      <c r="AA30" s="116" t="str">
        <f>IFx( Table4[[#This Row],[noCalc]], "", IFx(Table4[[#This Row],[reSpiritSymbolChars]], re_group(  AA$4,,  Table4[[#This Row],[reSpiritSymbol]]  &amp; Table4[[#This Row],[reSpiritSymbolQ]] ) ))</f>
        <v/>
      </c>
      <c r="AB30" s="47"/>
      <c r="AC30" s="47" t="str">
        <f>IFx( Table4[[#This Row],[noCalc]], "", IFx(Table4[[#This Row],[reSpiritSymbolChars]], re_group(  AC$4,, re_bracket(1,,  Table4[[#This Row],[reSpiritSymbolChars]]) )))</f>
        <v/>
      </c>
      <c r="AD30" s="35"/>
      <c r="AE30" s="116" t="str">
        <f>IF(Table4[[#This Row],[noCalc]], "",  IFx(Table4[[#This Row],[reLevelChars]],  re_group(  AE$4,,  re_group_no_capture( 1,, re_bracket(1,, Table4[[#This Row],[reLevelChars]])) &amp; "?")))</f>
        <v/>
      </c>
      <c r="AF30" s="47"/>
      <c r="AG30" s="47"/>
      <c r="AH30" s="80" t="str">
        <f>IFx(Table4[[#This Row],[noCalc]], "", IFx( Table4[[#This Row],[reRefType]], re_group( AH$4,,Table4[[#This Row],[reRefType]] &amp; Table4[[#This Row],[reLabel]])))</f>
        <v/>
      </c>
      <c r="AI30" s="116" t="str">
        <f xml:space="preserve"> re_group( AI$4,,  Table4[[#This Row],[reHashSymbol]] &amp; Table4[[#This Row],[ReHashSymbolQ]] )</f>
        <v/>
      </c>
      <c r="AJ30" s="90"/>
      <c r="AK30" s="116" t="str">
        <f>re_group( AK$4,, re_bracket(1,, Table4[[#This Row],[reHashChars]]))</f>
        <v/>
      </c>
      <c r="AL30" s="87"/>
      <c r="AM30" s="116" t="str">
        <f>IFx(Table4[[#This Row],[noCalc]], "", re_group( AM$4,, re_tag_label_simple))</f>
        <v/>
      </c>
      <c r="AN30" s="80" t="str">
        <f>IFx(Table4[[#This Row],[noCalc]], "", re_group( AN$4,, re_tag_tail))</f>
        <v/>
      </c>
      <c r="AO30" s="80" t="str">
        <f>IFx(Table4[[#This Row],[noCalc]], "", re_group( AL$4,, re_tag_after))</f>
        <v/>
      </c>
      <c r="AP30" s="6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2:66">
      <c r="B31" s="49"/>
      <c r="C31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1" s="77" t="str">
        <f>IFx( Table4[[#This Row],[rule_name]], _xlfn.TEXTJOIN(" ",, "{", "include:", "'#" &amp; Table4[[#This Row],[rule_name]] &amp; "'", "}"))</f>
        <v/>
      </c>
      <c r="E31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1" s="78" t="str">
        <f>IF(Table4[[#This Row],[spirit]]="", "", re_surround(1,, "'", "'", SUBSTITUTE(meta_subscope_mask, spirit_placeholder, Table4[[#This Row],[spirit]])))</f>
        <v/>
      </c>
      <c r="G31" s="78" t="str">
        <f>IF(Table4[[#This Row],[spirit]]="", "", re_surround(1,, "'", "'", SUBSTITUTE(markup_subscope_mask, spirit_placeholder, Table4[[#This Row],[spirit]])))</f>
        <v/>
      </c>
      <c r="H31" s="79" t="str">
        <f>IF(Table4[[#This Row],[spirit]]="", "",  re_surround(1,, "'", "'",SUBSTITUTE(dynamic_subscope_mask, spirit_placeholder, Table4[[#This Row],[spirit]])))</f>
        <v/>
      </c>
      <c r="I31" s="99" t="str">
        <f>SUBSTITUTE(SUBSTITUTE(IF(Table4[[#This Row],[spirit]]="", "", Table4[[#This Row],[rule_name_pfx]] &amp; IF(Table4[[#This Row],[spirit]]="undef", "", Table4[[#This Row],[spirit]])), ".", "_"), "-", "_")</f>
        <v/>
      </c>
      <c r="J31" s="74"/>
      <c r="K31" s="74"/>
      <c r="L31" s="94"/>
      <c r="M31" s="123" t="s">
        <v>341</v>
      </c>
      <c r="N31" s="47">
        <v>1</v>
      </c>
      <c r="O31" s="47"/>
      <c r="P31" s="35"/>
      <c r="Q31" s="35"/>
      <c r="R31" s="80" t="b">
        <f>OR( Table4[[#This Row],[use]] = "", Table4[[#This Row],[use]] = "custom", Table4[[#This Row],[use]] = "alternate" )</f>
        <v>1</v>
      </c>
      <c r="S31" s="80" t="str">
        <f>re_surround(1,,"'", "'",  Table4[[#This Row],[re_escaped]])</f>
        <v/>
      </c>
      <c r="T31" s="80" t="str">
        <f>SUBSTITUTE(Table4[[#This Row],[regex]], "\", "\\")</f>
        <v/>
      </c>
      <c r="U31" s="115" t="str">
        <f>"|"</f>
        <v>|</v>
      </c>
      <c r="V31" s="80" t="str">
        <f>IFx(Table4[[#This Row],[noCalc]],"", IFx(Table4[[#This Row],[reSpan]], re_group( V$4, , Table4[[#This Row],[before]] &amp; Table4[[#This Row],[reSpan]] &amp; Table4[[#This Row],[after]])))</f>
        <v/>
      </c>
      <c r="W31" s="116" t="str">
        <f>IF(Table4[[#This Row],[noCalc]], "", re_group( T$4, , re_tag_before ))</f>
        <v/>
      </c>
      <c r="X31" s="80" t="str">
        <f>IFx( Table4[[#This Row],[noCalc]], "", IFx(  Table4[[#This Row],[reHashRef]], re_group(X$4,, Table4[[#This Row],[begin]] &amp; Table4[[#This Row],[reHashRef]] &amp; Table4[[#This Row],[end]])))</f>
        <v/>
      </c>
      <c r="Y31" s="80" t="str">
        <f>re_group(Y$4,, Table4[[#This Row],[rePrelude]])</f>
        <v/>
      </c>
      <c r="Z31" s="116" t="str">
        <f>IFx(Table4[[#This Row],[noCalc]], "", IFx(Table4[[#This Row],[reSpiritSymbolChars]], re_group(  Z$4,,  Table4[[#This Row],[reSpiritDesignator]] &amp; Table4[[#This Row],[reLevel]])))</f>
        <v/>
      </c>
      <c r="AA31" s="116" t="str">
        <f>IFx( Table4[[#This Row],[noCalc]], "", IFx(Table4[[#This Row],[reSpiritSymbolChars]], re_group(  AA$4,,  Table4[[#This Row],[reSpiritSymbol]]  &amp; Table4[[#This Row],[reSpiritSymbolQ]] ) ))</f>
        <v/>
      </c>
      <c r="AB31" s="47"/>
      <c r="AC31" s="80" t="str">
        <f>IFx( Table4[[#This Row],[noCalc]], "", IFx(Table4[[#This Row],[reSpiritSymbolChars]], re_group(  AC$4,, re_bracket(1,,  Table4[[#This Row],[reSpiritSymbolChars]]) )))</f>
        <v/>
      </c>
      <c r="AD31" s="35"/>
      <c r="AE31" s="116" t="str">
        <f>IF(Table4[[#This Row],[noCalc]], "",  IFx(Table4[[#This Row],[reLevelChars]],  re_group(  AE$4,,  re_group_no_capture( 1,, re_bracket(1,, Table4[[#This Row],[reLevelChars]])) &amp; "?")))</f>
        <v/>
      </c>
      <c r="AF31" s="47"/>
      <c r="AG31" s="47"/>
      <c r="AH31" s="80" t="str">
        <f>IFx(Table4[[#This Row],[noCalc]], "", IFx( Table4[[#This Row],[reRefType]], re_group( AH$4,,Table4[[#This Row],[reRefType]] &amp; Table4[[#This Row],[reLabel]])))</f>
        <v/>
      </c>
      <c r="AI31" s="116" t="str">
        <f xml:space="preserve"> re_group( AI$4,,  Table4[[#This Row],[reHashSymbol]] &amp; Table4[[#This Row],[ReHashSymbolQ]] )</f>
        <v/>
      </c>
      <c r="AJ31" s="90"/>
      <c r="AK31" s="116" t="str">
        <f>re_group( AK$4,, re_bracket(1,, Table4[[#This Row],[reHashChars]]))</f>
        <v/>
      </c>
      <c r="AL31" s="87"/>
      <c r="AM31" s="116" t="str">
        <f>IFx(Table4[[#This Row],[noCalc]], "", re_group( AM$4,, re_tag_label_simple))</f>
        <v/>
      </c>
      <c r="AN31" s="80" t="str">
        <f>IFx(Table4[[#This Row],[noCalc]], "", re_group( AN$4,, re_tag_tail))</f>
        <v/>
      </c>
      <c r="AO31" s="80" t="str">
        <f>IFx(Table4[[#This Row],[noCalc]], "", re_group( AL$4,, re_tag_after))</f>
        <v/>
      </c>
      <c r="AP31" s="6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2:66">
      <c r="B32" s="49"/>
      <c r="C32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2" s="77" t="str">
        <f>IFx( Table4[[#This Row],[rule_name]], _xlfn.TEXTJOIN(" ",, "{", "include:", "'#" &amp; Table4[[#This Row],[rule_name]] &amp; "'", "}"))</f>
        <v/>
      </c>
      <c r="E32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2" s="78" t="str">
        <f>IF(Table4[[#This Row],[spirit]]="", "", re_surround(1,, "'", "'", SUBSTITUTE(meta_subscope_mask, spirit_placeholder, Table4[[#This Row],[spirit]])))</f>
        <v/>
      </c>
      <c r="G32" s="78" t="str">
        <f>IF(Table4[[#This Row],[spirit]]="", "", re_surround(1,, "'", "'", SUBSTITUTE(markup_subscope_mask, spirit_placeholder, Table4[[#This Row],[spirit]])))</f>
        <v/>
      </c>
      <c r="H32" s="79" t="str">
        <f>IF(Table4[[#This Row],[spirit]]="", "",  re_surround(1,, "'", "'",SUBSTITUTE(dynamic_subscope_mask, spirit_placeholder, Table4[[#This Row],[spirit]])))</f>
        <v/>
      </c>
      <c r="I32" s="99" t="str">
        <f>SUBSTITUTE(SUBSTITUTE(IF(Table4[[#This Row],[spirit]]="", "", Table4[[#This Row],[rule_name_pfx]] &amp; IF(Table4[[#This Row],[spirit]]="undef", "", Table4[[#This Row],[spirit]])), ".", "_"), "-", "_")</f>
        <v/>
      </c>
      <c r="J32" s="74"/>
      <c r="K32" s="74"/>
      <c r="L32" s="94"/>
      <c r="M32" s="123" t="s">
        <v>342</v>
      </c>
      <c r="N32" s="47">
        <v>6</v>
      </c>
      <c r="O32" s="47"/>
      <c r="P32" s="35"/>
      <c r="Q32" s="35"/>
      <c r="R32" s="80" t="b">
        <f>OR( Table4[[#This Row],[use]] = "", Table4[[#This Row],[use]] = "custom", Table4[[#This Row],[use]] = "alternate" )</f>
        <v>1</v>
      </c>
      <c r="S32" s="80" t="str">
        <f>re_surround(1,,"'", "'",  Table4[[#This Row],[re_escaped]])</f>
        <v/>
      </c>
      <c r="T32" s="80" t="str">
        <f>SUBSTITUTE(Table4[[#This Row],[regex]], "\", "\\")</f>
        <v/>
      </c>
      <c r="U32" s="115" t="str">
        <f>"|"</f>
        <v>|</v>
      </c>
      <c r="V32" s="80" t="str">
        <f>IFx(Table4[[#This Row],[noCalc]],"", IFx(Table4[[#This Row],[reSpan]], re_group( V$4, , Table4[[#This Row],[before]] &amp; Table4[[#This Row],[reSpan]] &amp; Table4[[#This Row],[after]])))</f>
        <v/>
      </c>
      <c r="W32" s="116" t="str">
        <f>IF(Table4[[#This Row],[noCalc]], "", re_group( T$4, , re_tag_before ))</f>
        <v/>
      </c>
      <c r="X32" s="80" t="str">
        <f>IFx( Table4[[#This Row],[noCalc]], "", IFx(  Table4[[#This Row],[reHashRef]], re_group(X$4,, Table4[[#This Row],[begin]] &amp; Table4[[#This Row],[reHashRef]] &amp; Table4[[#This Row],[end]])))</f>
        <v/>
      </c>
      <c r="Y32" s="80" t="str">
        <f>re_group(Y$4,, Table4[[#This Row],[rePrelude]])</f>
        <v/>
      </c>
      <c r="Z32" s="116" t="str">
        <f>IFx(Table4[[#This Row],[noCalc]], "", IFx(Table4[[#This Row],[reSpiritSymbolChars]], re_group(  Z$4,,  Table4[[#This Row],[reSpiritDesignator]] &amp; Table4[[#This Row],[reLevel]])))</f>
        <v/>
      </c>
      <c r="AA32" s="116" t="str">
        <f>IFx( Table4[[#This Row],[noCalc]], "", IFx(Table4[[#This Row],[reSpiritSymbolChars]], re_group(  AA$4,,  Table4[[#This Row],[reSpiritSymbol]]  &amp; Table4[[#This Row],[reSpiritSymbolQ]] ) ))</f>
        <v/>
      </c>
      <c r="AB32" s="47"/>
      <c r="AC32" s="80" t="str">
        <f>IFx( Table4[[#This Row],[noCalc]], "", IFx(Table4[[#This Row],[reSpiritSymbolChars]], re_group(  AC$4,, re_bracket(1,,  Table4[[#This Row],[reSpiritSymbolChars]]) )))</f>
        <v/>
      </c>
      <c r="AD32" s="35"/>
      <c r="AE32" s="116" t="str">
        <f>IF(Table4[[#This Row],[noCalc]], "",  IFx(Table4[[#This Row],[reLevelChars]],  re_group(  AE$4,,  re_group_no_capture( 1,, re_bracket(1,, Table4[[#This Row],[reLevelChars]])) &amp; "?")))</f>
        <v/>
      </c>
      <c r="AF32" s="47"/>
      <c r="AG32" s="47"/>
      <c r="AH32" s="80" t="str">
        <f>IFx(Table4[[#This Row],[noCalc]], "", IFx( Table4[[#This Row],[reRefType]], re_group( AH$4,,Table4[[#This Row],[reRefType]] &amp; Table4[[#This Row],[reLabel]])))</f>
        <v/>
      </c>
      <c r="AI32" s="116" t="str">
        <f xml:space="preserve"> re_group( AI$4,,  Table4[[#This Row],[reHashSymbol]] &amp; Table4[[#This Row],[ReHashSymbolQ]] )</f>
        <v/>
      </c>
      <c r="AJ32" s="90"/>
      <c r="AK32" s="116" t="str">
        <f>re_group( AK$4,, re_bracket(1,, Table4[[#This Row],[reHashChars]]))</f>
        <v/>
      </c>
      <c r="AL32" s="87"/>
      <c r="AM32" s="116" t="str">
        <f>IFx(Table4[[#This Row],[noCalc]], "", re_group( AM$4,, re_tag_label_simple))</f>
        <v/>
      </c>
      <c r="AN32" s="80" t="str">
        <f>IFx(Table4[[#This Row],[noCalc]], "", re_group( AN$4,, re_tag_tail))</f>
        <v/>
      </c>
      <c r="AO32" s="80" t="str">
        <f>IFx(Table4[[#This Row],[noCalc]], "", re_group( AL$4,, re_tag_after))</f>
        <v/>
      </c>
      <c r="AP32" s="6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2:66">
      <c r="B33" s="49"/>
      <c r="C33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3" s="77" t="str">
        <f>IFx( Table4[[#This Row],[rule_name]], _xlfn.TEXTJOIN(" ",, "{", "include:", "'#" &amp; Table4[[#This Row],[rule_name]] &amp; "'", "}"))</f>
        <v/>
      </c>
      <c r="E33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3" s="78" t="str">
        <f>IF(Table4[[#This Row],[spirit]]="", "", re_surround(1,, "'", "'", SUBSTITUTE(meta_subscope_mask, spirit_placeholder, Table4[[#This Row],[spirit]])))</f>
        <v/>
      </c>
      <c r="G33" s="78" t="str">
        <f>IF(Table4[[#This Row],[spirit]]="", "", re_surround(1,, "'", "'", SUBSTITUTE(markup_subscope_mask, spirit_placeholder, Table4[[#This Row],[spirit]])))</f>
        <v/>
      </c>
      <c r="H33" s="79" t="str">
        <f>IF(Table4[[#This Row],[spirit]]="", "",  re_surround(1,, "'", "'",SUBSTITUTE(dynamic_subscope_mask, spirit_placeholder, Table4[[#This Row],[spirit]])))</f>
        <v/>
      </c>
      <c r="I33" s="99" t="str">
        <f>SUBSTITUTE(SUBSTITUTE(IF(Table4[[#This Row],[spirit]]="", "", Table4[[#This Row],[rule_name_pfx]] &amp; IF(Table4[[#This Row],[spirit]]="undef", "", Table4[[#This Row],[spirit]])), ".", "_"), "-", "_")</f>
        <v/>
      </c>
      <c r="J33" s="74"/>
      <c r="K33" s="74"/>
      <c r="L33" s="94"/>
      <c r="M33" s="124" t="s">
        <v>343</v>
      </c>
      <c r="N33" s="47">
        <v>7</v>
      </c>
      <c r="O33" s="47"/>
      <c r="P33" s="35"/>
      <c r="Q33" s="35"/>
      <c r="R33" s="80" t="b">
        <f>OR( Table4[[#This Row],[use]] = "", Table4[[#This Row],[use]] = "custom", Table4[[#This Row],[use]] = "alternate" )</f>
        <v>1</v>
      </c>
      <c r="S33" s="80" t="str">
        <f>re_surround(1,,"'", "'",  Table4[[#This Row],[re_escaped]])</f>
        <v/>
      </c>
      <c r="T33" s="80" t="str">
        <f>SUBSTITUTE(Table4[[#This Row],[regex]], "\", "\\")</f>
        <v/>
      </c>
      <c r="U33" s="115" t="str">
        <f>"|"</f>
        <v>|</v>
      </c>
      <c r="V33" s="80" t="str">
        <f>IFx(Table4[[#This Row],[noCalc]],"", IFx(Table4[[#This Row],[reSpan]], re_group( V$4, , Table4[[#This Row],[before]] &amp; Table4[[#This Row],[reSpan]] &amp; Table4[[#This Row],[after]])))</f>
        <v/>
      </c>
      <c r="W33" s="116" t="str">
        <f>IF(Table4[[#This Row],[noCalc]], "", re_group( T$4, , re_tag_before ))</f>
        <v/>
      </c>
      <c r="X33" s="80" t="str">
        <f>IFx( Table4[[#This Row],[noCalc]], "", IFx(  Table4[[#This Row],[reHashRef]], re_group(X$4,, Table4[[#This Row],[begin]] &amp; Table4[[#This Row],[reHashRef]] &amp; Table4[[#This Row],[end]])))</f>
        <v/>
      </c>
      <c r="Y33" s="80" t="str">
        <f>re_group(Y$4,, Table4[[#This Row],[rePrelude]])</f>
        <v/>
      </c>
      <c r="Z33" s="116" t="str">
        <f>IFx(Table4[[#This Row],[noCalc]], "", IFx(Table4[[#This Row],[reSpiritSymbolChars]], re_group(  Z$4,,  Table4[[#This Row],[reSpiritDesignator]] &amp; Table4[[#This Row],[reLevel]])))</f>
        <v/>
      </c>
      <c r="AA33" s="116" t="str">
        <f>IFx( Table4[[#This Row],[noCalc]], "", IFx(Table4[[#This Row],[reSpiritSymbolChars]], re_group(  AA$4,,  Table4[[#This Row],[reSpiritSymbol]]  &amp; Table4[[#This Row],[reSpiritSymbolQ]] ) ))</f>
        <v/>
      </c>
      <c r="AB33" s="47"/>
      <c r="AC33" s="80" t="str">
        <f>IFx( Table4[[#This Row],[noCalc]], "", IFx(Table4[[#This Row],[reSpiritSymbolChars]], re_group(  AC$4,, re_bracket(1,,  Table4[[#This Row],[reSpiritSymbolChars]]) )))</f>
        <v/>
      </c>
      <c r="AD33" s="35"/>
      <c r="AE33" s="116" t="str">
        <f>IF(Table4[[#This Row],[noCalc]], "",  IFx(Table4[[#This Row],[reLevelChars]],  re_group(  AE$4,,  re_group_no_capture( 1,, re_bracket(1,, Table4[[#This Row],[reLevelChars]])) &amp; "?")))</f>
        <v/>
      </c>
      <c r="AF33" s="47"/>
      <c r="AG33" s="47"/>
      <c r="AH33" s="80" t="str">
        <f>IFx(Table4[[#This Row],[noCalc]], "", IFx( Table4[[#This Row],[reRefType]], re_group( AH$4,,Table4[[#This Row],[reRefType]] &amp; Table4[[#This Row],[reLabel]])))</f>
        <v/>
      </c>
      <c r="AI33" s="116" t="str">
        <f xml:space="preserve"> re_group( AI$4,,  Table4[[#This Row],[reHashSymbol]] &amp; Table4[[#This Row],[ReHashSymbolQ]] )</f>
        <v/>
      </c>
      <c r="AJ33" s="90"/>
      <c r="AK33" s="116" t="str">
        <f>re_group( AK$4,, re_bracket(1,, Table4[[#This Row],[reHashChars]]))</f>
        <v/>
      </c>
      <c r="AL33" s="87"/>
      <c r="AM33" s="116" t="str">
        <f>IFx(Table4[[#This Row],[noCalc]], "", re_group( AM$4,, re_tag_label_simple))</f>
        <v/>
      </c>
      <c r="AN33" s="80" t="str">
        <f>IFx(Table4[[#This Row],[noCalc]], "", re_group( AN$4,, re_tag_tail))</f>
        <v/>
      </c>
      <c r="AO33" s="80" t="str">
        <f>IFx(Table4[[#This Row],[noCalc]], "", re_group( AL$4,, re_tag_after))</f>
        <v/>
      </c>
      <c r="AP33" s="6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2:66">
      <c r="B34" s="49"/>
      <c r="C34" s="113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4" s="77" t="str">
        <f>IFx( Table4[[#This Row],[rule_name]], _xlfn.TEXTJOIN(" ",, "{", "include:", "'#" &amp; Table4[[#This Row],[rule_name]] &amp; "'", "}"))</f>
        <v/>
      </c>
      <c r="E34" s="114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4" s="114" t="str">
        <f>IF(Table4[[#This Row],[spirit]]="", "", re_surround(1,, "'", "'", SUBSTITUTE(meta_subscope_mask, spirit_placeholder, Table4[[#This Row],[spirit]])))</f>
        <v/>
      </c>
      <c r="G34" s="78" t="str">
        <f>IF(Table4[[#This Row],[spirit]]="", "", re_surround(1,, "'", "'", SUBSTITUTE(markup_subscope_mask, spirit_placeholder, Table4[[#This Row],[spirit]])))</f>
        <v/>
      </c>
      <c r="H34" s="79" t="str">
        <f>IF(Table4[[#This Row],[spirit]]="", "",  re_surround(1,, "'", "'",SUBSTITUTE(dynamic_subscope_mask, spirit_placeholder, Table4[[#This Row],[spirit]])))</f>
        <v/>
      </c>
      <c r="I34" s="99" t="str">
        <f>SUBSTITUTE(SUBSTITUTE(IF(Table4[[#This Row],[spirit]]="", "", Table4[[#This Row],[rule_name_pfx]] &amp; IF(Table4[[#This Row],[spirit]]="undef", "", Table4[[#This Row],[spirit]])), ".", "_"), "-", "_")</f>
        <v/>
      </c>
      <c r="J34" s="74"/>
      <c r="K34" s="74"/>
      <c r="L34" s="94"/>
      <c r="M34" s="91"/>
      <c r="N34" s="47"/>
      <c r="O34" s="47"/>
      <c r="P34" s="35"/>
      <c r="Q34" s="35"/>
      <c r="R34" s="80" t="b">
        <f>OR( Table4[[#This Row],[use]] = "", Table4[[#This Row],[use]] = "custom", Table4[[#This Row],[use]] = "alternate" )</f>
        <v>1</v>
      </c>
      <c r="S34" s="80" t="str">
        <f>re_surround(1,,"'", "'",  Table4[[#This Row],[re_escaped]])</f>
        <v/>
      </c>
      <c r="T34" s="80" t="str">
        <f>SUBSTITUTE(Table4[[#This Row],[regex]], "\", "\\")</f>
        <v/>
      </c>
      <c r="U34" s="115" t="str">
        <f>"|"</f>
        <v>|</v>
      </c>
      <c r="V34" s="80" t="str">
        <f>IFx(Table4[[#This Row],[noCalc]],"", IFx(Table4[[#This Row],[reSpan]], re_group( V$4, , Table4[[#This Row],[before]] &amp; Table4[[#This Row],[reSpan]] &amp; Table4[[#This Row],[after]])))</f>
        <v/>
      </c>
      <c r="W34" s="116" t="str">
        <f>IF(Table4[[#This Row],[noCalc]], "", re_group( T$4, , re_tag_before ))</f>
        <v/>
      </c>
      <c r="X34" s="80" t="str">
        <f>IFx( Table4[[#This Row],[noCalc]], "", IFx(  Table4[[#This Row],[reHashRef]], re_group(X$4,, Table4[[#This Row],[begin]] &amp; Table4[[#This Row],[reHashRef]] &amp; Table4[[#This Row],[end]])))</f>
        <v/>
      </c>
      <c r="Y34" s="80" t="str">
        <f>re_group(Y$4,, Table4[[#This Row],[rePrelude]])</f>
        <v/>
      </c>
      <c r="Z34" s="116" t="str">
        <f>IFx(Table4[[#This Row],[noCalc]], "", IFx(Table4[[#This Row],[reSpiritSymbolChars]], re_group(  Z$4,,  Table4[[#This Row],[reSpiritDesignator]] &amp; Table4[[#This Row],[reLevel]])))</f>
        <v/>
      </c>
      <c r="AA34" s="116" t="str">
        <f>IFx( Table4[[#This Row],[noCalc]], "", IFx(Table4[[#This Row],[reSpiritSymbolChars]], re_group(  AA$4,,  Table4[[#This Row],[reSpiritSymbol]]  &amp; Table4[[#This Row],[reSpiritSymbolQ]] ) ))</f>
        <v/>
      </c>
      <c r="AB34" s="47"/>
      <c r="AC34" s="47" t="str">
        <f>IFx( Table4[[#This Row],[noCalc]], "", IFx(Table4[[#This Row],[reSpiritSymbolChars]], re_group(  AC$4,, re_bracket(1,,  Table4[[#This Row],[reSpiritSymbolChars]]) )))</f>
        <v/>
      </c>
      <c r="AD34" s="35"/>
      <c r="AE34" s="116" t="str">
        <f>IF(Table4[[#This Row],[noCalc]], "",  IFx(Table4[[#This Row],[reLevelChars]],  re_group(  AE$4,,  re_group_no_capture( 1,, re_bracket(1,, Table4[[#This Row],[reLevelChars]])) &amp; "?")))</f>
        <v/>
      </c>
      <c r="AF34" s="47"/>
      <c r="AG34" s="47"/>
      <c r="AH34" s="80" t="str">
        <f>IFx(Table4[[#This Row],[noCalc]], "", IFx( Table4[[#This Row],[reRefType]], re_group( AH$4,,Table4[[#This Row],[reRefType]] &amp; Table4[[#This Row],[reLabel]])))</f>
        <v/>
      </c>
      <c r="AI34" s="116" t="str">
        <f xml:space="preserve"> re_group( AI$4,,  Table4[[#This Row],[reHashSymbol]] &amp; Table4[[#This Row],[ReHashSymbolQ]] )</f>
        <v/>
      </c>
      <c r="AJ34" s="90"/>
      <c r="AK34" s="116" t="str">
        <f>re_group( AK$4,, re_bracket(1,, Table4[[#This Row],[reHashChars]]))</f>
        <v/>
      </c>
      <c r="AL34" s="87"/>
      <c r="AM34" s="116" t="str">
        <f>IFx(Table4[[#This Row],[noCalc]], "", re_group( AM$4,, re_tag_label_simple))</f>
        <v/>
      </c>
      <c r="AN34" s="80" t="str">
        <f>IFx(Table4[[#This Row],[noCalc]], "", re_group( AN$4,, re_tag_tail))</f>
        <v/>
      </c>
      <c r="AO34" s="80" t="str">
        <f>IFx(Table4[[#This Row],[noCalc]], "", re_group( AL$4,, re_tag_after))</f>
        <v/>
      </c>
      <c r="AP34" s="6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2:66">
      <c r="B35" s="48" t="s">
        <v>74</v>
      </c>
      <c r="C35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5" s="74" t="str">
        <f>IFx( Table4[[#This Row],[rule_name]], _xlfn.TEXTJOIN(" ",, "{", "include:", "'#" &amp; Table4[[#This Row],[rule_name]] &amp; "'", "}"))</f>
        <v/>
      </c>
      <c r="E35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5" s="67" t="str">
        <f>IF(Table4[[#This Row],[spirit]]="", "", re_surround(1,, "'", "'", SUBSTITUTE(meta_subscope_mask, spirit_placeholder, Table4[[#This Row],[spirit]])))</f>
        <v/>
      </c>
      <c r="G35" s="67" t="str">
        <f>IF(Table4[[#This Row],[spirit]]="", "", re_surround(1,, "'", "'", SUBSTITUTE(markup_subscope_mask, spirit_placeholder, Table4[[#This Row],[spirit]])))</f>
        <v/>
      </c>
      <c r="H35" s="69" t="str">
        <f>IF(Table4[[#This Row],[spirit]]="", "",  re_surround(1,, "'", "'",SUBSTITUTE(dynamic_subscope_mask, spirit_placeholder, Table4[[#This Row],[spirit]])))</f>
        <v/>
      </c>
      <c r="I35" s="97" t="str">
        <f>SUBSTITUTE(SUBSTITUTE(IF(Table4[[#This Row],[spirit]]="", "", Table4[[#This Row],[rule_name_pfx]] &amp; IF(Table4[[#This Row],[spirit]]="undef", "", Table4[[#This Row],[spirit]])), ".", "_"), "-", "_")</f>
        <v/>
      </c>
      <c r="J35" s="74"/>
      <c r="K35" s="74"/>
      <c r="L35" s="94"/>
      <c r="M35" s="91" t="s">
        <v>269</v>
      </c>
      <c r="N35" s="47" t="s">
        <v>237</v>
      </c>
      <c r="O35" s="47" t="s">
        <v>266</v>
      </c>
      <c r="P35" s="35" t="s">
        <v>237</v>
      </c>
      <c r="Q35" s="35"/>
      <c r="R35" s="47" t="b">
        <f>OR( Table4[[#This Row],[use]] = "", Table4[[#This Row],[use]] = "custom", Table4[[#This Row],[use]] = "alternate" )</f>
        <v>1</v>
      </c>
      <c r="S35" s="47" t="str">
        <f>re_surround(1,,"'", "'",  Table4[[#This Row],[re_escaped]])</f>
        <v/>
      </c>
      <c r="T35" s="47" t="str">
        <f>SUBSTITUTE(Table4[[#This Row],[regex]], "\", "\\")</f>
        <v/>
      </c>
      <c r="U35" s="86" t="str">
        <f t="shared" si="2"/>
        <v>|</v>
      </c>
      <c r="V35" s="47" t="str">
        <f>IFx(Table4[[#This Row],[noCalc]],"", IFx(Table4[[#This Row],[reSpan]], re_group( V$4, , Table4[[#This Row],[before]] &amp; Table4[[#This Row],[reSpan]] &amp; Table4[[#This Row],[after]])))</f>
        <v/>
      </c>
      <c r="W35" s="87"/>
      <c r="X35" s="47" t="str">
        <f>IFx( Table4[[#This Row],[noCalc]], "", IFx(  Table4[[#This Row],[reHashRef]], re_group(X$4,, Table4[[#This Row],[begin]] &amp; Table4[[#This Row],[reHashRef]] &amp; Table4[[#This Row],[end]])))</f>
        <v/>
      </c>
      <c r="Y35" s="47" t="str">
        <f>re_group(Y$4,, Table4[[#This Row],[rePrelude]])</f>
        <v/>
      </c>
      <c r="Z35" s="87" t="str">
        <f>IFx(Table4[[#This Row],[noCalc]], "", IFx(Table4[[#This Row],[reSpiritSymbolChars]], re_group(  Z$4,,  Table4[[#This Row],[reSpiritDesignator]] &amp; Table4[[#This Row],[reLevel]])))</f>
        <v/>
      </c>
      <c r="AA35" s="87" t="str">
        <f>IFx( Table4[[#This Row],[noCalc]], "", IFx(Table4[[#This Row],[reSpiritSymbolChars]], re_group(  AA$4,,  Table4[[#This Row],[reSpiritSymbol]]  &amp; Table4[[#This Row],[reSpiritSymbolQ]] ) ))</f>
        <v/>
      </c>
      <c r="AB35" s="47"/>
      <c r="AC35" s="47" t="str">
        <f>IFx( Table4[[#This Row],[noCalc]], "", IFx(Table4[[#This Row],[reSpiritSymbolChars]], re_group(  AC$4,, re_bracket(1,,  Table4[[#This Row],[reSpiritSymbolChars]]) )))</f>
        <v/>
      </c>
      <c r="AD35" s="35"/>
      <c r="AE35" s="87" t="str">
        <f>IF(Table4[[#This Row],[noCalc]], "",  IFx(Table4[[#This Row],[reLevelChars]],  re_group(  AE$4,,  re_group_no_capture( 1,, re_bracket(1,, Table4[[#This Row],[reLevelChars]])) &amp; "?")))</f>
        <v/>
      </c>
      <c r="AF35" s="47"/>
      <c r="AG35" s="47"/>
      <c r="AH35" s="47" t="str">
        <f>IFx(Table4[[#This Row],[noCalc]], "", IFx( Table4[[#This Row],[reRefType]], re_group( AH$4,,Table4[[#This Row],[reRefType]] &amp; Table4[[#This Row],[reLabel]])))</f>
        <v/>
      </c>
      <c r="AI35" s="87" t="str">
        <f xml:space="preserve"> re_group( AI$4,,  Table4[[#This Row],[reHashSymbol]] &amp; Table4[[#This Row],[ReHashSymbolQ]] )</f>
        <v/>
      </c>
      <c r="AJ35" s="87" t="s">
        <v>138</v>
      </c>
      <c r="AK35" s="87" t="str">
        <f>re_group( AK$4,, re_bracket(1,, Table4[[#This Row],[reHashChars]]))</f>
        <v/>
      </c>
      <c r="AL35" s="87"/>
      <c r="AM35" s="87" t="str">
        <f>IFx(Table4[[#This Row],[noCalc]], "", re_group( AM$4,, re_tag_label_simple))</f>
        <v/>
      </c>
      <c r="AN35" s="47" t="str">
        <f>IFx(Table4[[#This Row],[noCalc]], "", re_group( AN$4,, re_tag_tail))</f>
        <v/>
      </c>
      <c r="AO35" s="47" t="str">
        <f>IFx(Table4[[#This Row],[noCalc]], "", re_group( AL$4,, re_tag_after))</f>
        <v/>
      </c>
      <c r="AP35" s="6" t="s">
        <v>138</v>
      </c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2:66">
      <c r="B36" s="48" t="s">
        <v>74</v>
      </c>
      <c r="C36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6" s="74" t="str">
        <f>IFx( Table4[[#This Row],[rule_name]], _xlfn.TEXTJOIN(" ",, "{", "include:", "'#" &amp; Table4[[#This Row],[rule_name]] &amp; "'", "}"))</f>
        <v/>
      </c>
      <c r="E36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6" s="67" t="str">
        <f>IF(Table4[[#This Row],[spirit]]="", "", re_surround(1,, "'", "'", SUBSTITUTE(meta_subscope_mask, spirit_placeholder, Table4[[#This Row],[spirit]])))</f>
        <v/>
      </c>
      <c r="G36" s="67" t="str">
        <f>IF(Table4[[#This Row],[spirit]]="", "", re_surround(1,, "'", "'", SUBSTITUTE(markup_subscope_mask, spirit_placeholder, Table4[[#This Row],[spirit]])))</f>
        <v/>
      </c>
      <c r="H36" s="69" t="str">
        <f>IF(Table4[[#This Row],[spirit]]="", "",  re_surround(1,, "'", "'",SUBSTITUTE(dynamic_subscope_mask, spirit_placeholder, Table4[[#This Row],[spirit]])))</f>
        <v/>
      </c>
      <c r="I36" s="97" t="str">
        <f>SUBSTITUTE(SUBSTITUTE(IF(Table4[[#This Row],[spirit]]="", "", Table4[[#This Row],[rule_name_pfx]] &amp; IF(Table4[[#This Row],[spirit]]="undef", "", Table4[[#This Row],[spirit]])), ".", "_"), "-", "_")</f>
        <v/>
      </c>
      <c r="J36" s="74"/>
      <c r="K36" s="74"/>
      <c r="L36" s="94"/>
      <c r="M36" s="91" t="s">
        <v>270</v>
      </c>
      <c r="N36" s="47" t="s">
        <v>238</v>
      </c>
      <c r="O36" s="47" t="s">
        <v>266</v>
      </c>
      <c r="P36" s="35" t="s">
        <v>238</v>
      </c>
      <c r="Q36" s="35"/>
      <c r="R36" s="47" t="b">
        <f>OR( Table4[[#This Row],[use]] = "", Table4[[#This Row],[use]] = "custom", Table4[[#This Row],[use]] = "alternate" )</f>
        <v>1</v>
      </c>
      <c r="S36" s="47" t="str">
        <f>re_surround(1,,"'", "'",  Table4[[#This Row],[re_escaped]])</f>
        <v/>
      </c>
      <c r="T36" s="47" t="str">
        <f>SUBSTITUTE(Table4[[#This Row],[regex]], "\", "\\")</f>
        <v/>
      </c>
      <c r="U36" s="86" t="str">
        <f t="shared" si="2"/>
        <v>|</v>
      </c>
      <c r="V36" s="47" t="str">
        <f>IFx(Table4[[#This Row],[noCalc]],"", IFx(Table4[[#This Row],[reSpan]], re_group( V$4, , Table4[[#This Row],[before]] &amp; Table4[[#This Row],[reSpan]] &amp; Table4[[#This Row],[after]])))</f>
        <v/>
      </c>
      <c r="W36" s="87"/>
      <c r="X36" s="47" t="str">
        <f>IFx( Table4[[#This Row],[noCalc]], "", IFx(  Table4[[#This Row],[reHashRef]], re_group(X$4,, Table4[[#This Row],[begin]] &amp; Table4[[#This Row],[reHashRef]] &amp; Table4[[#This Row],[end]])))</f>
        <v/>
      </c>
      <c r="Y36" s="47" t="str">
        <f>re_group(Y$4,, Table4[[#This Row],[rePrelude]])</f>
        <v/>
      </c>
      <c r="Z36" s="87" t="str">
        <f>IFx(Table4[[#This Row],[noCalc]], "", IFx(Table4[[#This Row],[reSpiritSymbolChars]], re_group(  Z$4,,  Table4[[#This Row],[reSpiritDesignator]] &amp; Table4[[#This Row],[reLevel]])))</f>
        <v/>
      </c>
      <c r="AA36" s="87" t="str">
        <f>IFx( Table4[[#This Row],[noCalc]], "", IFx(Table4[[#This Row],[reSpiritSymbolChars]], re_group(  AA$4,,  Table4[[#This Row],[reSpiritSymbol]]  &amp; Table4[[#This Row],[reSpiritSymbolQ]] ) ))</f>
        <v/>
      </c>
      <c r="AB36" s="47"/>
      <c r="AC36" s="47" t="str">
        <f>IFx( Table4[[#This Row],[noCalc]], "", IFx(Table4[[#This Row],[reSpiritSymbolChars]], re_group(  AC$4,, re_bracket(1,,  Table4[[#This Row],[reSpiritSymbolChars]]) )))</f>
        <v/>
      </c>
      <c r="AD36" s="35"/>
      <c r="AE36" s="87" t="str">
        <f>IF(Table4[[#This Row],[noCalc]], "",  IFx(Table4[[#This Row],[reLevelChars]],  re_group(  AE$4,,  re_group_no_capture( 1,, re_bracket(1,, Table4[[#This Row],[reLevelChars]])) &amp; "?")))</f>
        <v/>
      </c>
      <c r="AF36" s="47"/>
      <c r="AG36" s="47"/>
      <c r="AH36" s="47" t="str">
        <f>IFx(Table4[[#This Row],[noCalc]], "", IFx( Table4[[#This Row],[reRefType]], re_group( AH$4,,Table4[[#This Row],[reRefType]] &amp; Table4[[#This Row],[reLabel]])))</f>
        <v/>
      </c>
      <c r="AI36" s="87" t="str">
        <f xml:space="preserve"> re_group( AI$4,,  Table4[[#This Row],[reHashSymbol]] &amp; Table4[[#This Row],[ReHashSymbolQ]] )</f>
        <v/>
      </c>
      <c r="AJ36" s="87" t="s">
        <v>138</v>
      </c>
      <c r="AK36" s="87" t="str">
        <f>re_group( AK$4,, re_bracket(1,, Table4[[#This Row],[reHashChars]]))</f>
        <v/>
      </c>
      <c r="AL36" s="87"/>
      <c r="AM36" s="87" t="str">
        <f>IFx(Table4[[#This Row],[noCalc]], "", re_group( AM$4,, re_tag_label_simple))</f>
        <v/>
      </c>
      <c r="AN36" s="47" t="str">
        <f>IFx(Table4[[#This Row],[noCalc]], "", re_group( AN$4,, re_tag_tail))</f>
        <v/>
      </c>
      <c r="AO36" s="47" t="str">
        <f>IFx(Table4[[#This Row],[noCalc]], "", re_group( AL$4,, re_tag_after))</f>
        <v/>
      </c>
      <c r="AP36" s="6" t="s">
        <v>138</v>
      </c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2:66">
      <c r="B37" s="48" t="s">
        <v>74</v>
      </c>
      <c r="C37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7" s="74" t="str">
        <f>IFx( Table4[[#This Row],[rule_name]], _xlfn.TEXTJOIN(" ",, "{", "include:", "'#" &amp; Table4[[#This Row],[rule_name]] &amp; "'", "}"))</f>
        <v/>
      </c>
      <c r="E37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7" s="67" t="str">
        <f>IF(Table4[[#This Row],[spirit]]="", "", re_surround(1,, "'", "'", SUBSTITUTE(meta_subscope_mask, spirit_placeholder, Table4[[#This Row],[spirit]])))</f>
        <v/>
      </c>
      <c r="G37" s="67" t="str">
        <f>IF(Table4[[#This Row],[spirit]]="", "", re_surround(1,, "'", "'", SUBSTITUTE(markup_subscope_mask, spirit_placeholder, Table4[[#This Row],[spirit]])))</f>
        <v/>
      </c>
      <c r="H37" s="69" t="str">
        <f>IF(Table4[[#This Row],[spirit]]="", "",  re_surround(1,, "'", "'",SUBSTITUTE(dynamic_subscope_mask, spirit_placeholder, Table4[[#This Row],[spirit]])))</f>
        <v/>
      </c>
      <c r="I37" s="97" t="str">
        <f>SUBSTITUTE(SUBSTITUTE(IF(Table4[[#This Row],[spirit]]="", "", Table4[[#This Row],[rule_name_pfx]] &amp; IF(Table4[[#This Row],[spirit]]="undef", "", Table4[[#This Row],[spirit]])), ".", "_"), "-", "_")</f>
        <v/>
      </c>
      <c r="J37" s="74"/>
      <c r="K37" s="74"/>
      <c r="L37" s="94"/>
      <c r="M37" s="91"/>
      <c r="N37" s="47"/>
      <c r="O37" s="47"/>
      <c r="P37" s="35"/>
      <c r="Q37" s="35"/>
      <c r="R37" s="47" t="b">
        <f>OR( Table4[[#This Row],[use]] = "", Table4[[#This Row],[use]] = "custom", Table4[[#This Row],[use]] = "alternate" )</f>
        <v>1</v>
      </c>
      <c r="S37" s="47" t="str">
        <f>re_surround(1,,"'", "'",  Table4[[#This Row],[re_escaped]])</f>
        <v/>
      </c>
      <c r="T37" s="80" t="str">
        <f>SUBSTITUTE(Table4[[#This Row],[regex]], "\", "\\")</f>
        <v/>
      </c>
      <c r="U37" s="86" t="str">
        <f t="shared" si="2"/>
        <v>|</v>
      </c>
      <c r="V37" s="80" t="str">
        <f>IFx(Table4[[#This Row],[noCalc]],"", IFx(Table4[[#This Row],[reSpan]], re_group( V$4, , Table4[[#This Row],[before]] &amp; Table4[[#This Row],[reSpan]] &amp; Table4[[#This Row],[after]])))</f>
        <v/>
      </c>
      <c r="W37" s="87"/>
      <c r="X37" s="47" t="str">
        <f>IFx( Table4[[#This Row],[noCalc]], "", IFx(  Table4[[#This Row],[reHashRef]], re_group(X$4,, Table4[[#This Row],[begin]] &amp; Table4[[#This Row],[reHashRef]] &amp; Table4[[#This Row],[end]])))</f>
        <v/>
      </c>
      <c r="Y37" s="47" t="str">
        <f>re_group(Y$4,, Table4[[#This Row],[rePrelude]])</f>
        <v/>
      </c>
      <c r="Z37" s="87" t="str">
        <f>IFx(Table4[[#This Row],[noCalc]], "", IFx(Table4[[#This Row],[reSpiritSymbolChars]], re_group(  Z$4,,  Table4[[#This Row],[reSpiritDesignator]] &amp; Table4[[#This Row],[reLevel]])))</f>
        <v/>
      </c>
      <c r="AA37" s="87" t="str">
        <f>IFx( Table4[[#This Row],[noCalc]], "", IFx(Table4[[#This Row],[reSpiritSymbolChars]], re_group(  AA$4,,  Table4[[#This Row],[reSpiritSymbol]]  &amp; Table4[[#This Row],[reSpiritSymbolQ]] ) ))</f>
        <v/>
      </c>
      <c r="AB37" s="47"/>
      <c r="AC37" s="47" t="str">
        <f>IFx( Table4[[#This Row],[noCalc]], "", IFx(Table4[[#This Row],[reSpiritSymbolChars]], re_group(  AC$4,, re_bracket(1,,  Table4[[#This Row],[reSpiritSymbolChars]]) )))</f>
        <v/>
      </c>
      <c r="AD37" s="35"/>
      <c r="AE37" s="87" t="str">
        <f>IF(Table4[[#This Row],[noCalc]], "",  IFx(Table4[[#This Row],[reLevelChars]],  re_group(  AE$4,,  re_group_no_capture( 1,, re_bracket(1,, Table4[[#This Row],[reLevelChars]])) &amp; "?")))</f>
        <v/>
      </c>
      <c r="AF37" s="47"/>
      <c r="AG37" s="47"/>
      <c r="AH37" s="47" t="str">
        <f>IFx(Table4[[#This Row],[noCalc]], "", IFx( Table4[[#This Row],[reRefType]], re_group( AH$4,,Table4[[#This Row],[reRefType]] &amp; Table4[[#This Row],[reLabel]])))</f>
        <v/>
      </c>
      <c r="AI37" s="87" t="str">
        <f xml:space="preserve"> re_group( AI$4,,  Table4[[#This Row],[reHashSymbol]] &amp; Table4[[#This Row],[ReHashSymbolQ]] )</f>
        <v/>
      </c>
      <c r="AJ37" s="87" t="s">
        <v>138</v>
      </c>
      <c r="AK37" s="87" t="str">
        <f>re_group( AK$4,, re_bracket(1,, Table4[[#This Row],[reHashChars]]))</f>
        <v/>
      </c>
      <c r="AL37" s="87"/>
      <c r="AM37" s="87" t="str">
        <f>IFx(Table4[[#This Row],[noCalc]], "", re_group( AM$4,, re_tag_label_simple))</f>
        <v/>
      </c>
      <c r="AN37" s="80" t="str">
        <f>IFx(Table4[[#This Row],[noCalc]], "", re_group( AN$4,, re_tag_tail))</f>
        <v/>
      </c>
      <c r="AO37" s="47" t="str">
        <f>IFx(Table4[[#This Row],[noCalc]], "", re_group( AL$4,, re_tag_after))</f>
        <v/>
      </c>
      <c r="AP37" s="6" t="s">
        <v>138</v>
      </c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2:66">
      <c r="B38" s="48" t="s">
        <v>74</v>
      </c>
      <c r="C38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8" s="74" t="str">
        <f>IFx( Table4[[#This Row],[rule_name]], _xlfn.TEXTJOIN(" ",, "{", "include:", "'#" &amp; Table4[[#This Row],[rule_name]] &amp; "'", "}"))</f>
        <v/>
      </c>
      <c r="E38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8" s="67" t="str">
        <f>IF(Table4[[#This Row],[spirit]]="", "", re_surround(1,, "'", "'", SUBSTITUTE(meta_subscope_mask, spirit_placeholder, Table4[[#This Row],[spirit]])))</f>
        <v/>
      </c>
      <c r="G38" s="67" t="str">
        <f>IF(Table4[[#This Row],[spirit]]="", "", re_surround(1,, "'", "'", SUBSTITUTE(markup_subscope_mask, spirit_placeholder, Table4[[#This Row],[spirit]])))</f>
        <v/>
      </c>
      <c r="H38" s="69" t="str">
        <f>IF(Table4[[#This Row],[spirit]]="", "",  re_surround(1,, "'", "'",SUBSTITUTE(dynamic_subscope_mask, spirit_placeholder, Table4[[#This Row],[spirit]])))</f>
        <v/>
      </c>
      <c r="I38" s="97" t="str">
        <f>SUBSTITUTE(SUBSTITUTE(IF(Table4[[#This Row],[spirit]]="", "", Table4[[#This Row],[rule_name_pfx]] &amp; IF(Table4[[#This Row],[spirit]]="undef", "", Table4[[#This Row],[spirit]])), ".", "_"), "-", "_")</f>
        <v/>
      </c>
      <c r="J38" s="74"/>
      <c r="K38" s="74"/>
      <c r="L38" s="94"/>
      <c r="M38" s="91" t="s">
        <v>256</v>
      </c>
      <c r="N38" s="47" t="str">
        <f>"" &amp; IF( Table4[[#This Row],[use]] ="", "",  IFERROR(INDEX(TCfg, 0, MATCH(Table4[[#This Row],[use]], Table4[#Headers], 0)), ""))</f>
        <v>(?&lt;!\w)</v>
      </c>
      <c r="O38" s="47" t="s">
        <v>266</v>
      </c>
      <c r="P38" s="35" t="s">
        <v>294</v>
      </c>
      <c r="Q38" s="35"/>
      <c r="R38" s="47" t="b">
        <f>OR( Table4[[#This Row],[use]] = "", Table4[[#This Row],[use]] = "custom", Table4[[#This Row],[use]] = "alternate" )</f>
        <v>1</v>
      </c>
      <c r="S38" s="47" t="str">
        <f>re_surround(1,,"'", "'",  Table4[[#This Row],[re_escaped]])</f>
        <v/>
      </c>
      <c r="T38" s="47" t="str">
        <f>SUBSTITUTE(Table4[[#This Row],[regex]], "\", "\\")</f>
        <v/>
      </c>
      <c r="U38" s="86" t="str">
        <f t="shared" si="2"/>
        <v>|</v>
      </c>
      <c r="V38" s="47" t="str">
        <f>IFx(Table4[[#This Row],[noCalc]],"", IFx(Table4[[#This Row],[reSpan]], re_group( V$4, , Table4[[#This Row],[before]] &amp; Table4[[#This Row],[reSpan]] &amp; Table4[[#This Row],[after]])))</f>
        <v/>
      </c>
      <c r="W38" s="87"/>
      <c r="X38" s="47" t="str">
        <f>IFx( Table4[[#This Row],[noCalc]], "", IFx(  Table4[[#This Row],[reHashRef]], re_group(X$4,, Table4[[#This Row],[begin]] &amp; Table4[[#This Row],[reHashRef]] &amp; Table4[[#This Row],[end]])))</f>
        <v/>
      </c>
      <c r="Y38" s="47" t="str">
        <f>re_group(Y$4,, Table4[[#This Row],[rePrelude]])</f>
        <v/>
      </c>
      <c r="Z38" s="87" t="str">
        <f>IFx(Table4[[#This Row],[noCalc]], "", IFx(Table4[[#This Row],[reSpiritSymbolChars]], re_group(  Z$4,,  Table4[[#This Row],[reSpiritDesignator]] &amp; Table4[[#This Row],[reLevel]])))</f>
        <v/>
      </c>
      <c r="AA38" s="87" t="str">
        <f>IFx( Table4[[#This Row],[noCalc]], "", IFx(Table4[[#This Row],[reSpiritSymbolChars]], re_group(  AA$4,,  Table4[[#This Row],[reSpiritSymbol]]  &amp; Table4[[#This Row],[reSpiritSymbolQ]] ) ))</f>
        <v/>
      </c>
      <c r="AB38" s="47"/>
      <c r="AC38" s="47" t="str">
        <f>IFx( Table4[[#This Row],[noCalc]], "", IFx(Table4[[#This Row],[reSpiritSymbolChars]], re_group(  AC$4,, re_bracket(1,,  Table4[[#This Row],[reSpiritSymbolChars]]) )))</f>
        <v/>
      </c>
      <c r="AD38" s="35"/>
      <c r="AE38" s="87" t="str">
        <f>IF(Table4[[#This Row],[noCalc]], "",  IFx(Table4[[#This Row],[reLevelChars]],  re_group(  AE$4,,  re_group_no_capture( 1,, re_bracket(1,, Table4[[#This Row],[reLevelChars]])) &amp; "?")))</f>
        <v/>
      </c>
      <c r="AF38" s="47"/>
      <c r="AG38" s="47"/>
      <c r="AH38" s="47" t="str">
        <f>IFx(Table4[[#This Row],[noCalc]], "", IFx( Table4[[#This Row],[reRefType]], re_group( AH$4,,Table4[[#This Row],[reRefType]] &amp; Table4[[#This Row],[reLabel]])))</f>
        <v/>
      </c>
      <c r="AI38" s="87" t="str">
        <f xml:space="preserve"> re_group( AI$4,,  Table4[[#This Row],[reHashSymbol]] &amp; Table4[[#This Row],[ReHashSymbolQ]] )</f>
        <v/>
      </c>
      <c r="AJ38" s="87" t="s">
        <v>138</v>
      </c>
      <c r="AK38" s="87" t="str">
        <f>re_group( AK$4,, re_bracket(1,, Table4[[#This Row],[reHashChars]]))</f>
        <v/>
      </c>
      <c r="AL38" s="87"/>
      <c r="AM38" s="87" t="str">
        <f>IFx(Table4[[#This Row],[noCalc]], "", re_group( AM$4,, re_tag_label_simple))</f>
        <v/>
      </c>
      <c r="AN38" s="47" t="str">
        <f>IFx(Table4[[#This Row],[noCalc]], "", re_group( AN$4,, re_tag_tail))</f>
        <v/>
      </c>
      <c r="AO38" s="47" t="str">
        <f>IFx(Table4[[#This Row],[noCalc]], "", re_group( AL$4,, re_tag_after))</f>
        <v/>
      </c>
      <c r="AP38" s="6" t="s">
        <v>138</v>
      </c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2:66">
      <c r="B39" s="48" t="s">
        <v>74</v>
      </c>
      <c r="C39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39" s="74" t="str">
        <f>IFx( Table4[[#This Row],[rule_name]], _xlfn.TEXTJOIN(" ",, "{", "include:", "'#" &amp; Table4[[#This Row],[rule_name]] &amp; "'", "}"))</f>
        <v/>
      </c>
      <c r="E39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39" s="67" t="str">
        <f>IF(Table4[[#This Row],[spirit]]="", "", re_surround(1,, "'", "'", SUBSTITUTE(meta_subscope_mask, spirit_placeholder, Table4[[#This Row],[spirit]])))</f>
        <v/>
      </c>
      <c r="G39" s="67" t="str">
        <f>IF(Table4[[#This Row],[spirit]]="", "", re_surround(1,, "'", "'", SUBSTITUTE(markup_subscope_mask, spirit_placeholder, Table4[[#This Row],[spirit]])))</f>
        <v/>
      </c>
      <c r="H39" s="69" t="str">
        <f>IF(Table4[[#This Row],[spirit]]="", "",  re_surround(1,, "'", "'",SUBSTITUTE(dynamic_subscope_mask, spirit_placeholder, Table4[[#This Row],[spirit]])))</f>
        <v/>
      </c>
      <c r="I39" s="97" t="str">
        <f>SUBSTITUTE(SUBSTITUTE(IF(Table4[[#This Row],[spirit]]="", "", Table4[[#This Row],[rule_name_pfx]] &amp; IF(Table4[[#This Row],[spirit]]="undef", "", Table4[[#This Row],[spirit]])), ".", "_"), "-", "_")</f>
        <v/>
      </c>
      <c r="J39" s="74"/>
      <c r="K39" s="74"/>
      <c r="L39" s="94"/>
      <c r="M39" s="91" t="s">
        <v>257</v>
      </c>
      <c r="N39" s="47" t="str">
        <f>"" &amp; IF( Table4[[#This Row],[use]] ="", "",  IFERROR(INDEX(TCfg, 0, MATCH(Table4[[#This Row],[use]], Table4[#Headers], 0)), ""))</f>
        <v>\b</v>
      </c>
      <c r="O39" s="47" t="s">
        <v>266</v>
      </c>
      <c r="P39" s="35" t="s">
        <v>247</v>
      </c>
      <c r="Q39" s="35"/>
      <c r="R39" s="47" t="b">
        <f>OR( Table4[[#This Row],[use]] = "", Table4[[#This Row],[use]] = "custom", Table4[[#This Row],[use]] = "alternate" )</f>
        <v>1</v>
      </c>
      <c r="S39" s="47" t="str">
        <f>re_surround(1,,"'", "'",  Table4[[#This Row],[re_escaped]])</f>
        <v/>
      </c>
      <c r="T39" s="47" t="str">
        <f>SUBSTITUTE(Table4[[#This Row],[regex]], "\", "\\")</f>
        <v/>
      </c>
      <c r="U39" s="86" t="str">
        <f t="shared" si="2"/>
        <v>|</v>
      </c>
      <c r="V39" s="47" t="str">
        <f>IFx(Table4[[#This Row],[noCalc]],"", IFx(Table4[[#This Row],[reSpan]], re_group( V$4, , Table4[[#This Row],[before]] &amp; Table4[[#This Row],[reSpan]] &amp; Table4[[#This Row],[after]])))</f>
        <v/>
      </c>
      <c r="W39" s="87"/>
      <c r="X39" s="47" t="str">
        <f>IFx( Table4[[#This Row],[noCalc]], "", IFx(  Table4[[#This Row],[reHashRef]], re_group(X$4,, Table4[[#This Row],[begin]] &amp; Table4[[#This Row],[reHashRef]] &amp; Table4[[#This Row],[end]])))</f>
        <v/>
      </c>
      <c r="Y39" s="47" t="str">
        <f>re_group(Y$4,, Table4[[#This Row],[rePrelude]])</f>
        <v/>
      </c>
      <c r="Z39" s="87" t="str">
        <f>IFx(Table4[[#This Row],[noCalc]], "", IFx(Table4[[#This Row],[reSpiritSymbolChars]], re_group(  Z$4,,  Table4[[#This Row],[reSpiritDesignator]] &amp; Table4[[#This Row],[reLevel]])))</f>
        <v/>
      </c>
      <c r="AA39" s="87" t="str">
        <f>IFx( Table4[[#This Row],[noCalc]], "", IFx(Table4[[#This Row],[reSpiritSymbolChars]], re_group(  AA$4,,  Table4[[#This Row],[reSpiritSymbol]]  &amp; Table4[[#This Row],[reSpiritSymbolQ]] ) ))</f>
        <v/>
      </c>
      <c r="AB39" s="47"/>
      <c r="AC39" s="47" t="str">
        <f>IFx( Table4[[#This Row],[noCalc]], "", IFx(Table4[[#This Row],[reSpiritSymbolChars]], re_group(  AC$4,, re_bracket(1,,  Table4[[#This Row],[reSpiritSymbolChars]]) )))</f>
        <v/>
      </c>
      <c r="AD39" s="35"/>
      <c r="AE39" s="87" t="str">
        <f>IF(Table4[[#This Row],[noCalc]], "",  IFx(Table4[[#This Row],[reLevelChars]],  re_group(  AE$4,,  re_group_no_capture( 1,, re_bracket(1,, Table4[[#This Row],[reLevelChars]])) &amp; "?")))</f>
        <v/>
      </c>
      <c r="AF39" s="47"/>
      <c r="AG39" s="47"/>
      <c r="AH39" s="47" t="str">
        <f>IFx(Table4[[#This Row],[noCalc]], "", IFx( Table4[[#This Row],[reRefType]], re_group( AH$4,,Table4[[#This Row],[reRefType]] &amp; Table4[[#This Row],[reLabel]])))</f>
        <v/>
      </c>
      <c r="AI39" s="87" t="str">
        <f xml:space="preserve"> re_group( AI$4,,  Table4[[#This Row],[reHashSymbol]] &amp; Table4[[#This Row],[ReHashSymbolQ]] )</f>
        <v/>
      </c>
      <c r="AJ39" s="87" t="s">
        <v>138</v>
      </c>
      <c r="AK39" s="87" t="str">
        <f>re_group( AK$4,, re_bracket(1,, Table4[[#This Row],[reHashChars]]))</f>
        <v/>
      </c>
      <c r="AL39" s="87"/>
      <c r="AM39" s="87" t="str">
        <f>IFx(Table4[[#This Row],[noCalc]], "", re_group( AM$4,, re_tag_label_simple))</f>
        <v/>
      </c>
      <c r="AN39" s="47" t="str">
        <f>IFx(Table4[[#This Row],[noCalc]], "", re_group( AN$4,, re_tag_tail))</f>
        <v/>
      </c>
      <c r="AO39" s="47" t="str">
        <f>IFx(Table4[[#This Row],[noCalc]], "", re_group( AL$4,, re_tag_after))</f>
        <v/>
      </c>
      <c r="AP39" s="6" t="s">
        <v>138</v>
      </c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2:66">
      <c r="B40" s="48" t="s">
        <v>74</v>
      </c>
      <c r="C40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0" s="74" t="str">
        <f>IFx( Table4[[#This Row],[rule_name]], _xlfn.TEXTJOIN(" ",, "{", "include:", "'#" &amp; Table4[[#This Row],[rule_name]] &amp; "'", "}"))</f>
        <v/>
      </c>
      <c r="E40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0" s="67" t="str">
        <f>IF(Table4[[#This Row],[spirit]]="", "", re_surround(1,, "'", "'", SUBSTITUTE(meta_subscope_mask, spirit_placeholder, Table4[[#This Row],[spirit]])))</f>
        <v/>
      </c>
      <c r="G40" s="67" t="str">
        <f>IF(Table4[[#This Row],[spirit]]="", "", re_surround(1,, "'", "'", SUBSTITUTE(markup_subscope_mask, spirit_placeholder, Table4[[#This Row],[spirit]])))</f>
        <v/>
      </c>
      <c r="H40" s="69" t="str">
        <f>IF(Table4[[#This Row],[spirit]]="", "",  re_surround(1,, "'", "'",SUBSTITUTE(dynamic_subscope_mask, spirit_placeholder, Table4[[#This Row],[spirit]])))</f>
        <v/>
      </c>
      <c r="I40" s="97" t="str">
        <f>SUBSTITUTE(SUBSTITUTE(IF(Table4[[#This Row],[spirit]]="", "", Table4[[#This Row],[rule_name_pfx]] &amp; IF(Table4[[#This Row],[spirit]]="undef", "", Table4[[#This Row],[spirit]])), ".", "_"), "-", "_")</f>
        <v/>
      </c>
      <c r="J40" s="74"/>
      <c r="K40" s="74"/>
      <c r="L40" s="94"/>
      <c r="M40" s="91"/>
      <c r="N40" s="47" t="str">
        <f>"" &amp; IF( Table4[[#This Row],[use]] ="", "",  IFERROR(INDEX(TCfg, 0, MATCH(Table4[[#This Row],[use]], Table4[#Headers], 0)), ""))</f>
        <v/>
      </c>
      <c r="O40" s="47"/>
      <c r="P40" s="35"/>
      <c r="Q40" s="35"/>
      <c r="R40" s="47" t="b">
        <f>OR( Table4[[#This Row],[use]] = "", Table4[[#This Row],[use]] = "custom", Table4[[#This Row],[use]] = "alternate" )</f>
        <v>1</v>
      </c>
      <c r="S40" s="47" t="str">
        <f>re_surround(1,,"'", "'",  Table4[[#This Row],[re_escaped]])</f>
        <v/>
      </c>
      <c r="T40" s="47" t="str">
        <f>SUBSTITUTE(Table4[[#This Row],[regex]], "\", "\\")</f>
        <v/>
      </c>
      <c r="U40" s="86" t="str">
        <f t="shared" si="2"/>
        <v>|</v>
      </c>
      <c r="V40" s="47" t="str">
        <f>IFx(Table4[[#This Row],[noCalc]],"", IFx(Table4[[#This Row],[reSpan]], re_group( V$4, , Table4[[#This Row],[before]] &amp; Table4[[#This Row],[reSpan]] &amp; Table4[[#This Row],[after]])))</f>
        <v/>
      </c>
      <c r="W40" s="87"/>
      <c r="X40" s="47" t="str">
        <f>IFx( Table4[[#This Row],[noCalc]], "", IFx(  Table4[[#This Row],[reHashRef]], re_group(X$4,, Table4[[#This Row],[begin]] &amp; Table4[[#This Row],[reHashRef]] &amp; Table4[[#This Row],[end]])))</f>
        <v/>
      </c>
      <c r="Y40" s="47" t="str">
        <f>re_group(Y$4,, Table4[[#This Row],[rePrelude]])</f>
        <v/>
      </c>
      <c r="Z40" s="87" t="str">
        <f>IFx(Table4[[#This Row],[noCalc]], "", IFx(Table4[[#This Row],[reSpiritSymbolChars]], re_group(  Z$4,,  Table4[[#This Row],[reSpiritDesignator]] &amp; Table4[[#This Row],[reLevel]])))</f>
        <v/>
      </c>
      <c r="AA40" s="87" t="str">
        <f>IFx( Table4[[#This Row],[noCalc]], "", IFx(Table4[[#This Row],[reSpiritSymbolChars]], re_group(  AA$4,,  Table4[[#This Row],[reSpiritSymbol]]  &amp; Table4[[#This Row],[reSpiritSymbolQ]] ) ))</f>
        <v/>
      </c>
      <c r="AB40" s="47"/>
      <c r="AC40" s="47" t="str">
        <f>IFx( Table4[[#This Row],[noCalc]], "", IFx(Table4[[#This Row],[reSpiritSymbolChars]], re_group(  AC$4,, re_bracket(1,,  Table4[[#This Row],[reSpiritSymbolChars]]) )))</f>
        <v/>
      </c>
      <c r="AD40" s="35"/>
      <c r="AE40" s="87" t="str">
        <f>IF(Table4[[#This Row],[noCalc]], "",  IFx(Table4[[#This Row],[reLevelChars]],  re_group(  AE$4,,  re_group_no_capture( 1,, re_bracket(1,, Table4[[#This Row],[reLevelChars]])) &amp; "?")))</f>
        <v/>
      </c>
      <c r="AF40" s="47"/>
      <c r="AG40" s="47"/>
      <c r="AH40" s="47" t="str">
        <f>IFx(Table4[[#This Row],[noCalc]], "", IFx( Table4[[#This Row],[reRefType]], re_group( AH$4,,Table4[[#This Row],[reRefType]] &amp; Table4[[#This Row],[reLabel]])))</f>
        <v/>
      </c>
      <c r="AI40" s="87" t="str">
        <f xml:space="preserve"> re_group( AI$4,,  Table4[[#This Row],[reHashSymbol]] &amp; Table4[[#This Row],[ReHashSymbolQ]] )</f>
        <v/>
      </c>
      <c r="AJ40" s="87" t="s">
        <v>138</v>
      </c>
      <c r="AK40" s="87" t="str">
        <f>re_group( AK$4,, re_bracket(1,, Table4[[#This Row],[reHashChars]]))</f>
        <v/>
      </c>
      <c r="AL40" s="87"/>
      <c r="AM40" s="87" t="str">
        <f>IFx(Table4[[#This Row],[noCalc]], "", re_group( AM$4,, re_tag_label_simple))</f>
        <v/>
      </c>
      <c r="AN40" s="47" t="str">
        <f>IFx(Table4[[#This Row],[noCalc]], "", re_group( AN$4,, re_tag_tail))</f>
        <v/>
      </c>
      <c r="AO40" s="47" t="str">
        <f>IFx(Table4[[#This Row],[noCalc]], "", re_group( AL$4,, re_tag_after))</f>
        <v/>
      </c>
      <c r="AP40" s="6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2:66">
      <c r="B41" s="48" t="s">
        <v>74</v>
      </c>
      <c r="C41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1" s="74" t="str">
        <f>IFx( Table4[[#This Row],[rule_name]], _xlfn.TEXTJOIN(" ",, "{", "include:", "'#" &amp; Table4[[#This Row],[rule_name]] &amp; "'", "}"))</f>
        <v/>
      </c>
      <c r="E41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1" s="67" t="str">
        <f>IF(Table4[[#This Row],[spirit]]="", "", re_surround(1,, "'", "'", SUBSTITUTE(meta_subscope_mask, spirit_placeholder, Table4[[#This Row],[spirit]])))</f>
        <v/>
      </c>
      <c r="G41" s="67" t="str">
        <f>IF(Table4[[#This Row],[spirit]]="", "", re_surround(1,, "'", "'", SUBSTITUTE(markup_subscope_mask, spirit_placeholder, Table4[[#This Row],[spirit]])))</f>
        <v/>
      </c>
      <c r="H41" s="69" t="str">
        <f>IF(Table4[[#This Row],[spirit]]="", "",  re_surround(1,, "'", "'",SUBSTITUTE(dynamic_subscope_mask, spirit_placeholder, Table4[[#This Row],[spirit]])))</f>
        <v/>
      </c>
      <c r="I41" s="97" t="str">
        <f>SUBSTITUTE(SUBSTITUTE(IF(Table4[[#This Row],[spirit]]="", "", Table4[[#This Row],[rule_name_pfx]] &amp; IF(Table4[[#This Row],[spirit]]="undef", "", Table4[[#This Row],[spirit]])), ".", "_"), "-", "_")</f>
        <v/>
      </c>
      <c r="J41" s="74"/>
      <c r="K41" s="74"/>
      <c r="L41" s="94"/>
      <c r="M41" s="91" t="s">
        <v>285</v>
      </c>
      <c r="N41" s="47" t="str">
        <f>"" &amp; IF( Table4[[#This Row],[use]] ="", "",  IFERROR(INDEX(TCfg, 0, MATCH(Table4[[#This Row],[use]], Table4[#Headers], 0)), ""))</f>
        <v>^</v>
      </c>
      <c r="O41" s="47" t="s">
        <v>266</v>
      </c>
      <c r="P41" s="51" t="s">
        <v>275</v>
      </c>
      <c r="Q41" s="51"/>
      <c r="R41" s="47" t="b">
        <f>OR( Table4[[#This Row],[use]] = "", Table4[[#This Row],[use]] = "custom", Table4[[#This Row],[use]] = "alternate" )</f>
        <v>1</v>
      </c>
      <c r="S41" s="47" t="str">
        <f>re_surround(1,,"'", "'",  Table4[[#This Row],[re_escaped]])</f>
        <v/>
      </c>
      <c r="T41" s="47" t="str">
        <f>SUBSTITUTE(Table4[[#This Row],[regex]], "\", "\\")</f>
        <v/>
      </c>
      <c r="U41" s="86" t="str">
        <f t="shared" si="2"/>
        <v>|</v>
      </c>
      <c r="V41" s="47" t="str">
        <f>IFx(Table4[[#This Row],[noCalc]],"", IFx(Table4[[#This Row],[reSpan]], re_group( V$4, , Table4[[#This Row],[before]] &amp; Table4[[#This Row],[reSpan]] &amp; Table4[[#This Row],[after]])))</f>
        <v/>
      </c>
      <c r="W41" s="87"/>
      <c r="X41" s="47" t="str">
        <f>IFx( Table4[[#This Row],[noCalc]], "", IFx(  Table4[[#This Row],[reHashRef]], re_group(X$4,, Table4[[#This Row],[begin]] &amp; Table4[[#This Row],[reHashRef]] &amp; Table4[[#This Row],[end]])))</f>
        <v/>
      </c>
      <c r="Y41" s="47" t="str">
        <f>re_group(Y$4,, Table4[[#This Row],[rePrelude]])</f>
        <v/>
      </c>
      <c r="Z41" s="87" t="str">
        <f>IFx(Table4[[#This Row],[noCalc]], "", IFx(Table4[[#This Row],[reSpiritSymbolChars]], re_group(  Z$4,,  Table4[[#This Row],[reSpiritDesignator]] &amp; Table4[[#This Row],[reLevel]])))</f>
        <v/>
      </c>
      <c r="AA41" s="87" t="str">
        <f>IFx( Table4[[#This Row],[noCalc]], "", IFx(Table4[[#This Row],[reSpiritSymbolChars]], re_group(  AA$4,,  Table4[[#This Row],[reSpiritSymbol]]  &amp; Table4[[#This Row],[reSpiritSymbolQ]] ) ))</f>
        <v/>
      </c>
      <c r="AB41" s="47"/>
      <c r="AC41" s="47" t="str">
        <f>IFx( Table4[[#This Row],[noCalc]], "", IFx(Table4[[#This Row],[reSpiritSymbolChars]], re_group(  AC$4,, re_bracket(1,,  Table4[[#This Row],[reSpiritSymbolChars]]) )))</f>
        <v/>
      </c>
      <c r="AD41" s="35"/>
      <c r="AE41" s="87" t="str">
        <f>IF(Table4[[#This Row],[noCalc]], "",  IFx(Table4[[#This Row],[reLevelChars]],  re_group(  AE$4,,  re_group_no_capture( 1,, re_bracket(1,, Table4[[#This Row],[reLevelChars]])) &amp; "?")))</f>
        <v/>
      </c>
      <c r="AF41" s="47"/>
      <c r="AG41" s="47"/>
      <c r="AH41" s="47" t="str">
        <f>IFx(Table4[[#This Row],[noCalc]], "", IFx( Table4[[#This Row],[reRefType]], re_group( AH$4,,Table4[[#This Row],[reRefType]] &amp; Table4[[#This Row],[reLabel]])))</f>
        <v/>
      </c>
      <c r="AI41" s="87" t="str">
        <f xml:space="preserve"> re_group( AI$4,,  Table4[[#This Row],[reHashSymbol]] &amp; Table4[[#This Row],[ReHashSymbolQ]] )</f>
        <v/>
      </c>
      <c r="AJ41" s="87" t="s">
        <v>138</v>
      </c>
      <c r="AK41" s="87" t="str">
        <f>re_group( AK$4,, re_bracket(1,, Table4[[#This Row],[reHashChars]]))</f>
        <v/>
      </c>
      <c r="AL41" s="87"/>
      <c r="AM41" s="87" t="str">
        <f>IFx(Table4[[#This Row],[noCalc]], "", re_group( AM$4,, re_tag_label_simple))</f>
        <v/>
      </c>
      <c r="AN41" s="47" t="str">
        <f>IFx(Table4[[#This Row],[noCalc]], "", re_group( AN$4,, re_tag_tail))</f>
        <v/>
      </c>
      <c r="AO41" s="47" t="str">
        <f>IFx(Table4[[#This Row],[noCalc]], "", re_group( AL$4,, re_tag_after))</f>
        <v/>
      </c>
      <c r="AP41" s="6" t="s">
        <v>138</v>
      </c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2:66">
      <c r="B42" s="48" t="s">
        <v>74</v>
      </c>
      <c r="C42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2" s="74" t="str">
        <f>IFx( Table4[[#This Row],[rule_name]], _xlfn.TEXTJOIN(" ",, "{", "include:", "'#" &amp; Table4[[#This Row],[rule_name]] &amp; "'", "}"))</f>
        <v/>
      </c>
      <c r="E42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2" s="67" t="str">
        <f>IF(Table4[[#This Row],[spirit]]="", "", re_surround(1,, "'", "'", SUBSTITUTE(meta_subscope_mask, spirit_placeholder, Table4[[#This Row],[spirit]])))</f>
        <v/>
      </c>
      <c r="G42" s="67" t="str">
        <f>IF(Table4[[#This Row],[spirit]]="", "", re_surround(1,, "'", "'", SUBSTITUTE(markup_subscope_mask, spirit_placeholder, Table4[[#This Row],[spirit]])))</f>
        <v/>
      </c>
      <c r="H42" s="69" t="str">
        <f>IF(Table4[[#This Row],[spirit]]="", "",  re_surround(1,, "'", "'",SUBSTITUTE(dynamic_subscope_mask, spirit_placeholder, Table4[[#This Row],[spirit]])))</f>
        <v/>
      </c>
      <c r="I42" s="97" t="str">
        <f>SUBSTITUTE(SUBSTITUTE(IF(Table4[[#This Row],[spirit]]="", "", Table4[[#This Row],[rule_name_pfx]] &amp; IF(Table4[[#This Row],[spirit]]="undef", "", Table4[[#This Row],[spirit]])), ".", "_"), "-", "_")</f>
        <v/>
      </c>
      <c r="J42" s="74"/>
      <c r="K42" s="74"/>
      <c r="L42" s="94"/>
      <c r="M42" s="91" t="s">
        <v>286</v>
      </c>
      <c r="N42" s="47" t="str">
        <f>"" &amp; IF( Table4[[#This Row],[use]] ="", "",  IFERROR(INDEX(TCfg, 0, MATCH(Table4[[#This Row],[use]], Table4[#Headers], 0)), ""))</f>
        <v>$</v>
      </c>
      <c r="O42" s="47" t="s">
        <v>266</v>
      </c>
      <c r="P42" s="51" t="s">
        <v>276</v>
      </c>
      <c r="Q42" s="51"/>
      <c r="R42" s="47" t="b">
        <f>OR( Table4[[#This Row],[use]] = "", Table4[[#This Row],[use]] = "custom", Table4[[#This Row],[use]] = "alternate" )</f>
        <v>1</v>
      </c>
      <c r="S42" s="47" t="str">
        <f>re_surround(1,,"'", "'",  Table4[[#This Row],[re_escaped]])</f>
        <v/>
      </c>
      <c r="T42" s="47" t="str">
        <f>SUBSTITUTE(Table4[[#This Row],[regex]], "\", "\\")</f>
        <v/>
      </c>
      <c r="U42" s="86" t="str">
        <f t="shared" si="2"/>
        <v>|</v>
      </c>
      <c r="V42" s="47" t="str">
        <f>IFx(Table4[[#This Row],[noCalc]],"", IFx(Table4[[#This Row],[reSpan]], re_group( V$4, , Table4[[#This Row],[before]] &amp; Table4[[#This Row],[reSpan]] &amp; Table4[[#This Row],[after]])))</f>
        <v/>
      </c>
      <c r="W42" s="87"/>
      <c r="X42" s="47" t="str">
        <f>IFx( Table4[[#This Row],[noCalc]], "", IFx(  Table4[[#This Row],[reHashRef]], re_group(X$4,, Table4[[#This Row],[begin]] &amp; Table4[[#This Row],[reHashRef]] &amp; Table4[[#This Row],[end]])))</f>
        <v/>
      </c>
      <c r="Y42" s="47" t="str">
        <f>re_group(Y$4,, Table4[[#This Row],[rePrelude]])</f>
        <v/>
      </c>
      <c r="Z42" s="87" t="str">
        <f>IFx(Table4[[#This Row],[noCalc]], "", IFx(Table4[[#This Row],[reSpiritSymbolChars]], re_group(  Z$4,,  Table4[[#This Row],[reSpiritDesignator]] &amp; Table4[[#This Row],[reLevel]])))</f>
        <v/>
      </c>
      <c r="AA42" s="87" t="str">
        <f>IFx( Table4[[#This Row],[noCalc]], "", IFx(Table4[[#This Row],[reSpiritSymbolChars]], re_group(  AA$4,,  Table4[[#This Row],[reSpiritSymbol]]  &amp; Table4[[#This Row],[reSpiritSymbolQ]] ) ))</f>
        <v/>
      </c>
      <c r="AB42" s="47"/>
      <c r="AC42" s="47" t="str">
        <f>IFx( Table4[[#This Row],[noCalc]], "", IFx(Table4[[#This Row],[reSpiritSymbolChars]], re_group(  AC$4,, re_bracket(1,,  Table4[[#This Row],[reSpiritSymbolChars]]) )))</f>
        <v/>
      </c>
      <c r="AD42" s="35"/>
      <c r="AE42" s="87" t="str">
        <f>IF(Table4[[#This Row],[noCalc]], "",  IFx(Table4[[#This Row],[reLevelChars]],  re_group(  AE$4,,  re_group_no_capture( 1,, re_bracket(1,, Table4[[#This Row],[reLevelChars]])) &amp; "?")))</f>
        <v/>
      </c>
      <c r="AF42" s="47"/>
      <c r="AG42" s="47"/>
      <c r="AH42" s="47" t="str">
        <f>IFx(Table4[[#This Row],[noCalc]], "", IFx( Table4[[#This Row],[reRefType]], re_group( AH$4,,Table4[[#This Row],[reRefType]] &amp; Table4[[#This Row],[reLabel]])))</f>
        <v/>
      </c>
      <c r="AI42" s="87" t="str">
        <f xml:space="preserve"> re_group( AI$4,,  Table4[[#This Row],[reHashSymbol]] &amp; Table4[[#This Row],[ReHashSymbolQ]] )</f>
        <v/>
      </c>
      <c r="AJ42" s="87" t="s">
        <v>138</v>
      </c>
      <c r="AK42" s="87" t="str">
        <f>re_group( AK$4,, re_bracket(1,, Table4[[#This Row],[reHashChars]]))</f>
        <v/>
      </c>
      <c r="AL42" s="87"/>
      <c r="AM42" s="87" t="str">
        <f>IFx(Table4[[#This Row],[noCalc]], "", re_group( AM$4,, re_tag_label_simple))</f>
        <v/>
      </c>
      <c r="AN42" s="47" t="str">
        <f>IFx(Table4[[#This Row],[noCalc]], "", re_group( AN$4,, re_tag_tail))</f>
        <v/>
      </c>
      <c r="AO42" s="47" t="str">
        <f>IFx(Table4[[#This Row],[noCalc]], "", re_group( AL$4,, re_tag_after))</f>
        <v/>
      </c>
      <c r="AP42" s="6" t="s">
        <v>138</v>
      </c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2:66">
      <c r="B43" s="48" t="s">
        <v>74</v>
      </c>
      <c r="C43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3" s="74" t="str">
        <f>IFx( Table4[[#This Row],[rule_name]], _xlfn.TEXTJOIN(" ",, "{", "include:", "'#" &amp; Table4[[#This Row],[rule_name]] &amp; "'", "}"))</f>
        <v/>
      </c>
      <c r="E43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3" s="67" t="str">
        <f>IF(Table4[[#This Row],[spirit]]="", "", re_surround(1,, "'", "'", SUBSTITUTE(meta_subscope_mask, spirit_placeholder, Table4[[#This Row],[spirit]])))</f>
        <v/>
      </c>
      <c r="G43" s="67" t="str">
        <f>IF(Table4[[#This Row],[spirit]]="", "", re_surround(1,, "'", "'", SUBSTITUTE(markup_subscope_mask, spirit_placeholder, Table4[[#This Row],[spirit]])))</f>
        <v/>
      </c>
      <c r="H43" s="69" t="str">
        <f>IF(Table4[[#This Row],[spirit]]="", "",  re_surround(1,, "'", "'",SUBSTITUTE(dynamic_subscope_mask, spirit_placeholder, Table4[[#This Row],[spirit]])))</f>
        <v/>
      </c>
      <c r="I43" s="97" t="str">
        <f>SUBSTITUTE(SUBSTITUTE(IF(Table4[[#This Row],[spirit]]="", "", Table4[[#This Row],[rule_name_pfx]] &amp; IF(Table4[[#This Row],[spirit]]="undef", "", Table4[[#This Row],[spirit]])), ".", "_"), "-", "_")</f>
        <v/>
      </c>
      <c r="J43" s="74"/>
      <c r="K43" s="74"/>
      <c r="L43" s="94"/>
      <c r="M43" s="91" t="s">
        <v>284</v>
      </c>
      <c r="N43" s="47" t="str">
        <f>"" &amp; IF( Table4[[#This Row],[use]] ="", "",  IFERROR(INDEX(TCfg, 0, MATCH(Table4[[#This Row],[use]], Table4[#Headers], 0)), ""))</f>
        <v>(?:\w|[\-])+</v>
      </c>
      <c r="O43" s="47" t="s">
        <v>266</v>
      </c>
      <c r="P43" s="51" t="s">
        <v>295</v>
      </c>
      <c r="Q43" s="51"/>
      <c r="R43" s="47" t="b">
        <f>OR( Table4[[#This Row],[use]] = "", Table4[[#This Row],[use]] = "custom", Table4[[#This Row],[use]] = "alternate" )</f>
        <v>1</v>
      </c>
      <c r="S43" s="47" t="str">
        <f>re_surround(1,,"'", "'",  Table4[[#This Row],[re_escaped]])</f>
        <v/>
      </c>
      <c r="T43" s="47" t="str">
        <f>SUBSTITUTE(Table4[[#This Row],[regex]], "\", "\\")</f>
        <v/>
      </c>
      <c r="U43" s="86" t="str">
        <f t="shared" si="2"/>
        <v>|</v>
      </c>
      <c r="V43" s="47" t="str">
        <f>IFx(Table4[[#This Row],[noCalc]],"", IFx(Table4[[#This Row],[reSpan]], re_group( V$4, , Table4[[#This Row],[before]] &amp; Table4[[#This Row],[reSpan]] &amp; Table4[[#This Row],[after]])))</f>
        <v/>
      </c>
      <c r="W43" s="87"/>
      <c r="X43" s="47" t="str">
        <f>IFx( Table4[[#This Row],[noCalc]], "", IFx(  Table4[[#This Row],[reHashRef]], re_group(X$4,, Table4[[#This Row],[begin]] &amp; Table4[[#This Row],[reHashRef]] &amp; Table4[[#This Row],[end]])))</f>
        <v/>
      </c>
      <c r="Y43" s="47" t="str">
        <f>re_group(Y$4,, Table4[[#This Row],[rePrelude]])</f>
        <v/>
      </c>
      <c r="Z43" s="87" t="str">
        <f>IFx(Table4[[#This Row],[noCalc]], "", IFx(Table4[[#This Row],[reSpiritSymbolChars]], re_group(  Z$4,,  Table4[[#This Row],[reSpiritDesignator]] &amp; Table4[[#This Row],[reLevel]])))</f>
        <v/>
      </c>
      <c r="AA43" s="87" t="str">
        <f>IFx( Table4[[#This Row],[noCalc]], "", IFx(Table4[[#This Row],[reSpiritSymbolChars]], re_group(  AA$4,,  Table4[[#This Row],[reSpiritSymbol]]  &amp; Table4[[#This Row],[reSpiritSymbolQ]] ) ))</f>
        <v/>
      </c>
      <c r="AB43" s="47"/>
      <c r="AC43" s="47" t="str">
        <f>IFx( Table4[[#This Row],[noCalc]], "", IFx(Table4[[#This Row],[reSpiritSymbolChars]], re_group(  AC$4,, re_bracket(1,,  Table4[[#This Row],[reSpiritSymbolChars]]) )))</f>
        <v/>
      </c>
      <c r="AD43" s="35"/>
      <c r="AE43" s="87" t="str">
        <f>IF(Table4[[#This Row],[noCalc]], "",  IFx(Table4[[#This Row],[reLevelChars]],  re_group(  AE$4,,  re_group_no_capture( 1,, re_bracket(1,, Table4[[#This Row],[reLevelChars]])) &amp; "?")))</f>
        <v/>
      </c>
      <c r="AF43" s="47"/>
      <c r="AG43" s="47"/>
      <c r="AH43" s="47" t="str">
        <f>IFx(Table4[[#This Row],[noCalc]], "", IFx( Table4[[#This Row],[reRefType]], re_group( AH$4,,Table4[[#This Row],[reRefType]] &amp; Table4[[#This Row],[reLabel]])))</f>
        <v/>
      </c>
      <c r="AI43" s="87" t="str">
        <f xml:space="preserve"> re_group( AI$4,,  Table4[[#This Row],[reHashSymbol]] &amp; Table4[[#This Row],[ReHashSymbolQ]] )</f>
        <v/>
      </c>
      <c r="AJ43" s="87" t="s">
        <v>138</v>
      </c>
      <c r="AK43" s="87" t="str">
        <f>re_group( AK$4,, re_bracket(1,, Table4[[#This Row],[reHashChars]]))</f>
        <v/>
      </c>
      <c r="AL43" s="87"/>
      <c r="AM43" s="87" t="str">
        <f>IFx(Table4[[#This Row],[noCalc]], "", re_group( AM$4,, re_tag_label_simple))</f>
        <v/>
      </c>
      <c r="AN43" s="47" t="str">
        <f>IFx(Table4[[#This Row],[noCalc]], "", re_group( AN$4,, re_tag_tail))</f>
        <v/>
      </c>
      <c r="AO43" s="47" t="str">
        <f>IFx(Table4[[#This Row],[noCalc]], "", re_group( AL$4,, re_tag_after))</f>
        <v/>
      </c>
      <c r="AP43" s="6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2:66">
      <c r="B44" s="48" t="s">
        <v>74</v>
      </c>
      <c r="C44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4" s="74" t="str">
        <f>IFx( Table4[[#This Row],[rule_name]], _xlfn.TEXTJOIN(" ",, "{", "include:", "'#" &amp; Table4[[#This Row],[rule_name]] &amp; "'", "}"))</f>
        <v/>
      </c>
      <c r="E44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4" s="67" t="str">
        <f>IF(Table4[[#This Row],[spirit]]="", "", re_surround(1,, "'", "'", SUBSTITUTE(meta_subscope_mask, spirit_placeholder, Table4[[#This Row],[spirit]])))</f>
        <v/>
      </c>
      <c r="G44" s="67" t="str">
        <f>IF(Table4[[#This Row],[spirit]]="", "", re_surround(1,, "'", "'", SUBSTITUTE(markup_subscope_mask, spirit_placeholder, Table4[[#This Row],[spirit]])))</f>
        <v/>
      </c>
      <c r="H44" s="69" t="str">
        <f>IF(Table4[[#This Row],[spirit]]="", "",  re_surround(1,, "'", "'",SUBSTITUTE(dynamic_subscope_mask, spirit_placeholder, Table4[[#This Row],[spirit]])))</f>
        <v/>
      </c>
      <c r="I44" s="97" t="str">
        <f>SUBSTITUTE(SUBSTITUTE(IF(Table4[[#This Row],[spirit]]="", "", Table4[[#This Row],[rule_name_pfx]] &amp; IF(Table4[[#This Row],[spirit]]="undef", "", Table4[[#This Row],[spirit]])), ".", "_"), "-", "_")</f>
        <v/>
      </c>
      <c r="J44" s="74"/>
      <c r="K44" s="74"/>
      <c r="L44" s="94"/>
      <c r="M44" s="91"/>
      <c r="N44" s="47" t="str">
        <f>"" &amp; IF( Table4[[#This Row],[use]] ="", "",  IFERROR(INDEX(TCfg, 0, MATCH(Table4[[#This Row],[use]], Table4[#Headers], 0)), ""))</f>
        <v/>
      </c>
      <c r="O44" s="47"/>
      <c r="P44" s="35"/>
      <c r="Q44" s="35"/>
      <c r="R44" s="47" t="b">
        <f>OR( Table4[[#This Row],[use]] = "", Table4[[#This Row],[use]] = "custom", Table4[[#This Row],[use]] = "alternate" )</f>
        <v>1</v>
      </c>
      <c r="S44" s="47" t="str">
        <f>re_surround(1,,"'", "'",  Table4[[#This Row],[re_escaped]])</f>
        <v/>
      </c>
      <c r="T44" s="47" t="str">
        <f>SUBSTITUTE(Table4[[#This Row],[regex]], "\", "\\")</f>
        <v/>
      </c>
      <c r="U44" s="86" t="str">
        <f t="shared" si="2"/>
        <v>|</v>
      </c>
      <c r="V44" s="47" t="str">
        <f>IFx(Table4[[#This Row],[noCalc]],"", IFx(Table4[[#This Row],[reSpan]], re_group( V$4, , Table4[[#This Row],[before]] &amp; Table4[[#This Row],[reSpan]] &amp; Table4[[#This Row],[after]])))</f>
        <v/>
      </c>
      <c r="W44" s="87"/>
      <c r="X44" s="47" t="str">
        <f>IFx( Table4[[#This Row],[noCalc]], "", IFx(  Table4[[#This Row],[reHashRef]], re_group(X$4,, Table4[[#This Row],[begin]] &amp; Table4[[#This Row],[reHashRef]] &amp; Table4[[#This Row],[end]])))</f>
        <v/>
      </c>
      <c r="Y44" s="47" t="str">
        <f>re_group(Y$4,, Table4[[#This Row],[rePrelude]])</f>
        <v/>
      </c>
      <c r="Z44" s="87" t="str">
        <f>IFx(Table4[[#This Row],[noCalc]], "", IFx(Table4[[#This Row],[reSpiritSymbolChars]], re_group(  Z$4,,  Table4[[#This Row],[reSpiritDesignator]] &amp; Table4[[#This Row],[reLevel]])))</f>
        <v/>
      </c>
      <c r="AA44" s="87" t="str">
        <f>IFx( Table4[[#This Row],[noCalc]], "", IFx(Table4[[#This Row],[reSpiritSymbolChars]], re_group(  AA$4,,  Table4[[#This Row],[reSpiritSymbol]]  &amp; Table4[[#This Row],[reSpiritSymbolQ]] ) ))</f>
        <v/>
      </c>
      <c r="AB44" s="47"/>
      <c r="AC44" s="47" t="str">
        <f>IFx( Table4[[#This Row],[noCalc]], "", IFx(Table4[[#This Row],[reSpiritSymbolChars]], re_group(  AC$4,, re_bracket(1,,  Table4[[#This Row],[reSpiritSymbolChars]]) )))</f>
        <v/>
      </c>
      <c r="AD44" s="35"/>
      <c r="AE44" s="87" t="str">
        <f>IF(Table4[[#This Row],[noCalc]], "",  IFx(Table4[[#This Row],[reLevelChars]],  re_group(  AE$4,,  re_group_no_capture( 1,, re_bracket(1,, Table4[[#This Row],[reLevelChars]])) &amp; "?")))</f>
        <v/>
      </c>
      <c r="AF44" s="47"/>
      <c r="AG44" s="47"/>
      <c r="AH44" s="47" t="str">
        <f>IFx(Table4[[#This Row],[noCalc]], "", IFx( Table4[[#This Row],[reRefType]], re_group( AH$4,,Table4[[#This Row],[reRefType]] &amp; Table4[[#This Row],[reLabel]])))</f>
        <v/>
      </c>
      <c r="AI44" s="87" t="str">
        <f xml:space="preserve"> re_group( AI$4,,  Table4[[#This Row],[reHashSymbol]] &amp; Table4[[#This Row],[ReHashSymbolQ]] )</f>
        <v/>
      </c>
      <c r="AJ44" s="87" t="s">
        <v>138</v>
      </c>
      <c r="AK44" s="87" t="str">
        <f>re_group( AK$4,, re_bracket(1,, Table4[[#This Row],[reHashChars]]))</f>
        <v/>
      </c>
      <c r="AL44" s="87"/>
      <c r="AM44" s="87" t="str">
        <f>IFx(Table4[[#This Row],[noCalc]], "", re_group( AM$4,, re_tag_label_simple))</f>
        <v/>
      </c>
      <c r="AN44" s="47" t="str">
        <f>IFx(Table4[[#This Row],[noCalc]], "", re_group( AN$4,, re_tag_tail))</f>
        <v/>
      </c>
      <c r="AO44" s="47" t="str">
        <f>IFx(Table4[[#This Row],[noCalc]], "", re_group( AL$4,, re_tag_after))</f>
        <v/>
      </c>
      <c r="AP44" s="6" t="s">
        <v>138</v>
      </c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2:66">
      <c r="B45" s="48" t="s">
        <v>74</v>
      </c>
      <c r="C45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5" s="74" t="str">
        <f>IFx( Table4[[#This Row],[rule_name]], _xlfn.TEXTJOIN(" ",, "{", "include:", "'#" &amp; Table4[[#This Row],[rule_name]] &amp; "'", "}"))</f>
        <v/>
      </c>
      <c r="E45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5" s="67" t="str">
        <f>IF(Table4[[#This Row],[spirit]]="", "", re_surround(1,, "'", "'", SUBSTITUTE(meta_subscope_mask, spirit_placeholder, Table4[[#This Row],[spirit]])))</f>
        <v/>
      </c>
      <c r="G45" s="67" t="str">
        <f>IF(Table4[[#This Row],[spirit]]="", "", re_surround(1,, "'", "'", SUBSTITUTE(markup_subscope_mask, spirit_placeholder, Table4[[#This Row],[spirit]])))</f>
        <v/>
      </c>
      <c r="H45" s="69" t="str">
        <f>IF(Table4[[#This Row],[spirit]]="", "",  re_surround(1,, "'", "'",SUBSTITUTE(dynamic_subscope_mask, spirit_placeholder, Table4[[#This Row],[spirit]])))</f>
        <v/>
      </c>
      <c r="I45" s="97" t="str">
        <f>SUBSTITUTE(SUBSTITUTE(IF(Table4[[#This Row],[spirit]]="", "", Table4[[#This Row],[rule_name_pfx]] &amp; IF(Table4[[#This Row],[spirit]]="undef", "", Table4[[#This Row],[spirit]])), ".", "_"), "-", "_")</f>
        <v/>
      </c>
      <c r="J45" s="74"/>
      <c r="K45" s="74"/>
      <c r="L45" s="94"/>
      <c r="M45" s="91" t="s">
        <v>265</v>
      </c>
      <c r="N45" s="47" t="str">
        <f>"" &amp; IF( Table4[[#This Row],[use]] ="", "",  IFERROR(INDEX(TCfg, 0, MATCH(Table4[[#This Row],[use]], Table4[#Headers], 0)), ""))</f>
        <v>#@</v>
      </c>
      <c r="O45" s="47" t="s">
        <v>266</v>
      </c>
      <c r="P45" s="41" t="s">
        <v>241</v>
      </c>
      <c r="Q45" s="41"/>
      <c r="R45" s="47" t="b">
        <f>OR( Table4[[#This Row],[use]] = "", Table4[[#This Row],[use]] = "custom", Table4[[#This Row],[use]] = "alternate" )</f>
        <v>1</v>
      </c>
      <c r="S45" s="47" t="str">
        <f>re_surround(1,,"'", "'",  Table4[[#This Row],[re_escaped]])</f>
        <v/>
      </c>
      <c r="T45" s="47" t="str">
        <f>SUBSTITUTE(Table4[[#This Row],[regex]], "\", "\\")</f>
        <v/>
      </c>
      <c r="U45" s="86" t="str">
        <f t="shared" si="2"/>
        <v>|</v>
      </c>
      <c r="V45" s="47" t="str">
        <f>IFx(Table4[[#This Row],[noCalc]],"", IFx(Table4[[#This Row],[reSpan]], re_group( V$4, , Table4[[#This Row],[before]] &amp; Table4[[#This Row],[reSpan]] &amp; Table4[[#This Row],[after]])))</f>
        <v/>
      </c>
      <c r="W45" s="87"/>
      <c r="X45" s="47" t="str">
        <f>IFx( Table4[[#This Row],[noCalc]], "", IFx(  Table4[[#This Row],[reHashRef]], re_group(X$4,, Table4[[#This Row],[begin]] &amp; Table4[[#This Row],[reHashRef]] &amp; Table4[[#This Row],[end]])))</f>
        <v/>
      </c>
      <c r="Y45" s="47" t="str">
        <f>re_group(Y$4,, Table4[[#This Row],[rePrelude]])</f>
        <v/>
      </c>
      <c r="Z45" s="87" t="str">
        <f>IFx(Table4[[#This Row],[noCalc]], "", IFx(Table4[[#This Row],[reSpiritSymbolChars]], re_group(  Z$4,,  Table4[[#This Row],[reSpiritDesignator]] &amp; Table4[[#This Row],[reLevel]])))</f>
        <v/>
      </c>
      <c r="AA45" s="87" t="str">
        <f>IFx( Table4[[#This Row],[noCalc]], "", IFx(Table4[[#This Row],[reSpiritSymbolChars]], re_group(  AA$4,,  Table4[[#This Row],[reSpiritSymbol]]  &amp; Table4[[#This Row],[reSpiritSymbolQ]] ) ))</f>
        <v/>
      </c>
      <c r="AB45" s="47"/>
      <c r="AC45" s="47" t="str">
        <f>IFx( Table4[[#This Row],[noCalc]], "", IFx(Table4[[#This Row],[reSpiritSymbolChars]], re_group(  AC$4,, re_bracket(1,,  Table4[[#This Row],[reSpiritSymbolChars]]) )))</f>
        <v/>
      </c>
      <c r="AD45" s="35"/>
      <c r="AE45" s="87" t="str">
        <f>IF(Table4[[#This Row],[noCalc]], "",  IFx(Table4[[#This Row],[reLevelChars]],  re_group(  AE$4,,  re_group_no_capture( 1,, re_bracket(1,, Table4[[#This Row],[reLevelChars]])) &amp; "?")))</f>
        <v/>
      </c>
      <c r="AF45" s="47"/>
      <c r="AG45" s="47"/>
      <c r="AH45" s="47" t="str">
        <f>IFx(Table4[[#This Row],[noCalc]], "", IFx( Table4[[#This Row],[reRefType]], re_group( AH$4,,Table4[[#This Row],[reRefType]] &amp; Table4[[#This Row],[reLabel]])))</f>
        <v/>
      </c>
      <c r="AI45" s="87" t="str">
        <f xml:space="preserve"> re_group( AI$4,,  Table4[[#This Row],[reHashSymbol]] &amp; Table4[[#This Row],[ReHashSymbolQ]] )</f>
        <v/>
      </c>
      <c r="AJ45" s="87" t="s">
        <v>138</v>
      </c>
      <c r="AK45" s="87" t="str">
        <f>re_group( AK$4,, re_bracket(1,, Table4[[#This Row],[reHashChars]]))</f>
        <v/>
      </c>
      <c r="AL45" s="87"/>
      <c r="AM45" s="87" t="str">
        <f>IFx(Table4[[#This Row],[noCalc]], "", re_group( AM$4,, re_tag_label_simple))</f>
        <v/>
      </c>
      <c r="AN45" s="47" t="str">
        <f>IFx(Table4[[#This Row],[noCalc]], "", re_group( AN$4,, re_tag_tail))</f>
        <v/>
      </c>
      <c r="AO45" s="47" t="str">
        <f>IFx(Table4[[#This Row],[noCalc]], "", re_group( AL$4,, re_tag_after))</f>
        <v/>
      </c>
      <c r="AP45" s="6" t="s">
        <v>138</v>
      </c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2:66">
      <c r="B46" s="48" t="s">
        <v>74</v>
      </c>
      <c r="C46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6" s="74" t="str">
        <f>IFx( Table4[[#This Row],[rule_name]], _xlfn.TEXTJOIN(" ",, "{", "include:", "'#" &amp; Table4[[#This Row],[rule_name]] &amp; "'", "}"))</f>
        <v/>
      </c>
      <c r="E46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6" s="67" t="str">
        <f>IF(Table4[[#This Row],[spirit]]="", "", re_surround(1,, "'", "'", SUBSTITUTE(meta_subscope_mask, spirit_placeholder, Table4[[#This Row],[spirit]])))</f>
        <v/>
      </c>
      <c r="G46" s="67" t="str">
        <f>IF(Table4[[#This Row],[spirit]]="", "", re_surround(1,, "'", "'", SUBSTITUTE(markup_subscope_mask, spirit_placeholder, Table4[[#This Row],[spirit]])))</f>
        <v/>
      </c>
      <c r="H46" s="69" t="str">
        <f>IF(Table4[[#This Row],[spirit]]="", "",  re_surround(1,, "'", "'",SUBSTITUTE(dynamic_subscope_mask, spirit_placeholder, Table4[[#This Row],[spirit]])))</f>
        <v/>
      </c>
      <c r="I46" s="97" t="str">
        <f>SUBSTITUTE(SUBSTITUTE(IF(Table4[[#This Row],[spirit]]="", "", Table4[[#This Row],[rule_name_pfx]] &amp; IF(Table4[[#This Row],[spirit]]="undef", "", Table4[[#This Row],[spirit]])), ".", "_"), "-", "_")</f>
        <v/>
      </c>
      <c r="J46" s="74"/>
      <c r="K46" s="74"/>
      <c r="L46" s="94"/>
      <c r="M46" s="91" t="s">
        <v>264</v>
      </c>
      <c r="N46" s="47" t="str">
        <f>"" &amp; IF( Table4[[#This Row],[use]] ="", "",  IFERROR(INDEX(TCfg, 0, MATCH(Table4[[#This Row],[use]], Table4[#Headers], 0)), ""))</f>
        <v>[#@]</v>
      </c>
      <c r="O46" s="47" t="s">
        <v>266</v>
      </c>
      <c r="P46" s="35" t="str">
        <f>IF( cs_tag_type = "", "", "[" &amp; cs_tag_type &amp; "]")</f>
        <v>[#@]</v>
      </c>
      <c r="Q46" s="35"/>
      <c r="R46" s="47" t="b">
        <f>OR( Table4[[#This Row],[use]] = "", Table4[[#This Row],[use]] = "custom", Table4[[#This Row],[use]] = "alternate" )</f>
        <v>1</v>
      </c>
      <c r="S46" s="47" t="str">
        <f>re_surround(1,,"'", "'",  Table4[[#This Row],[re_escaped]])</f>
        <v/>
      </c>
      <c r="T46" s="47" t="str">
        <f>SUBSTITUTE(Table4[[#This Row],[regex]], "\", "\\")</f>
        <v/>
      </c>
      <c r="U46" s="86" t="str">
        <f t="shared" si="2"/>
        <v>|</v>
      </c>
      <c r="V46" s="47" t="str">
        <f>IFx(Table4[[#This Row],[noCalc]],"", IFx(Table4[[#This Row],[reSpan]], re_group( V$4, , Table4[[#This Row],[before]] &amp; Table4[[#This Row],[reSpan]] &amp; Table4[[#This Row],[after]])))</f>
        <v/>
      </c>
      <c r="W46" s="87"/>
      <c r="X46" s="47" t="str">
        <f>IFx( Table4[[#This Row],[noCalc]], "", IFx(  Table4[[#This Row],[reHashRef]], re_group(X$4,, Table4[[#This Row],[begin]] &amp; Table4[[#This Row],[reHashRef]] &amp; Table4[[#This Row],[end]])))</f>
        <v/>
      </c>
      <c r="Y46" s="47" t="str">
        <f>re_group(Y$4,, Table4[[#This Row],[rePrelude]])</f>
        <v/>
      </c>
      <c r="Z46" s="87" t="str">
        <f>IFx(Table4[[#This Row],[noCalc]], "", IFx(Table4[[#This Row],[reSpiritSymbolChars]], re_group(  Z$4,,  Table4[[#This Row],[reSpiritDesignator]] &amp; Table4[[#This Row],[reLevel]])))</f>
        <v/>
      </c>
      <c r="AA46" s="87" t="str">
        <f>IFx( Table4[[#This Row],[noCalc]], "", IFx(Table4[[#This Row],[reSpiritSymbolChars]], re_group(  AA$4,,  Table4[[#This Row],[reSpiritSymbol]]  &amp; Table4[[#This Row],[reSpiritSymbolQ]] ) ))</f>
        <v/>
      </c>
      <c r="AB46" s="47"/>
      <c r="AC46" s="47" t="str">
        <f>IFx( Table4[[#This Row],[noCalc]], "", IFx(Table4[[#This Row],[reSpiritSymbolChars]], re_group(  AC$4,, re_bracket(1,,  Table4[[#This Row],[reSpiritSymbolChars]]) )))</f>
        <v/>
      </c>
      <c r="AD46" s="35"/>
      <c r="AE46" s="87" t="str">
        <f>IF(Table4[[#This Row],[noCalc]], "",  IFx(Table4[[#This Row],[reLevelChars]],  re_group(  AE$4,,  re_group_no_capture( 1,, re_bracket(1,, Table4[[#This Row],[reLevelChars]])) &amp; "?")))</f>
        <v/>
      </c>
      <c r="AF46" s="47"/>
      <c r="AG46" s="47"/>
      <c r="AH46" s="47" t="str">
        <f>IFx(Table4[[#This Row],[noCalc]], "", IFx( Table4[[#This Row],[reRefType]], re_group( AH$4,,Table4[[#This Row],[reRefType]] &amp; Table4[[#This Row],[reLabel]])))</f>
        <v/>
      </c>
      <c r="AI46" s="87" t="str">
        <f xml:space="preserve"> re_group( AI$4,,  Table4[[#This Row],[reHashSymbol]] &amp; Table4[[#This Row],[ReHashSymbolQ]] )</f>
        <v/>
      </c>
      <c r="AJ46" s="87" t="s">
        <v>138</v>
      </c>
      <c r="AK46" s="87" t="str">
        <f>re_group( AK$4,, re_bracket(1,, Table4[[#This Row],[reHashChars]]))</f>
        <v/>
      </c>
      <c r="AL46" s="87"/>
      <c r="AM46" s="87" t="str">
        <f>IFx(Table4[[#This Row],[noCalc]], "", re_group( AM$4,, re_tag_label_simple))</f>
        <v/>
      </c>
      <c r="AN46" s="47" t="str">
        <f>IFx(Table4[[#This Row],[noCalc]], "", re_group( AN$4,, re_tag_tail))</f>
        <v/>
      </c>
      <c r="AO46" s="47" t="str">
        <f>IFx(Table4[[#This Row],[noCalc]], "", re_group( AL$4,, re_tag_after))</f>
        <v/>
      </c>
      <c r="AP46" s="6" t="s">
        <v>138</v>
      </c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2:66">
      <c r="B47" s="48" t="s">
        <v>74</v>
      </c>
      <c r="C47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7" s="74" t="str">
        <f>IFx( Table4[[#This Row],[rule_name]], _xlfn.TEXTJOIN(" ",, "{", "include:", "'#" &amp; Table4[[#This Row],[rule_name]] &amp; "'", "}"))</f>
        <v/>
      </c>
      <c r="E47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7" s="67" t="str">
        <f>IF(Table4[[#This Row],[spirit]]="", "", re_surround(1,, "'", "'", SUBSTITUTE(meta_subscope_mask, spirit_placeholder, Table4[[#This Row],[spirit]])))</f>
        <v/>
      </c>
      <c r="G47" s="67" t="str">
        <f>IF(Table4[[#This Row],[spirit]]="", "", re_surround(1,, "'", "'", SUBSTITUTE(markup_subscope_mask, spirit_placeholder, Table4[[#This Row],[spirit]])))</f>
        <v/>
      </c>
      <c r="H47" s="69" t="str">
        <f>IF(Table4[[#This Row],[spirit]]="", "",  re_surround(1,, "'", "'",SUBSTITUTE(dynamic_subscope_mask, spirit_placeholder, Table4[[#This Row],[spirit]])))</f>
        <v/>
      </c>
      <c r="I47" s="97" t="str">
        <f>SUBSTITUTE(SUBSTITUTE(IF(Table4[[#This Row],[spirit]]="", "", Table4[[#This Row],[rule_name_pfx]] &amp; IF(Table4[[#This Row],[spirit]]="undef", "", Table4[[#This Row],[spirit]])), ".", "_"), "-", "_")</f>
        <v/>
      </c>
      <c r="J47" s="74"/>
      <c r="K47" s="74"/>
      <c r="L47" s="94"/>
      <c r="M47" s="91" t="s">
        <v>251</v>
      </c>
      <c r="N47" s="47" t="str">
        <f>"" &amp; IF( Table4[[#This Row],[use]] ="", "",  IFERROR(INDEX(TCfg, 0, MATCH(Table4[[#This Row],[use]], Table4[#Headers], 0)), ""))</f>
        <v>\w*[0-9a-zA-Z_]+\w*[0-9a-zA-Z_]</v>
      </c>
      <c r="O47" s="47" t="s">
        <v>266</v>
      </c>
      <c r="P47" s="51" t="str">
        <f>re_tw_label</f>
        <v>\w*[0-9a-zA-Z_]+\w*[0-9a-zA-Z_]</v>
      </c>
      <c r="Q47" s="51"/>
      <c r="R47" s="47" t="b">
        <f>OR( Table4[[#This Row],[use]] = "", Table4[[#This Row],[use]] = "custom", Table4[[#This Row],[use]] = "alternate" )</f>
        <v>1</v>
      </c>
      <c r="S47" s="47" t="str">
        <f>re_surround(1,,"'", "'",  Table4[[#This Row],[re_escaped]])</f>
        <v/>
      </c>
      <c r="T47" s="47" t="str">
        <f>SUBSTITUTE(Table4[[#This Row],[regex]], "\", "\\")</f>
        <v/>
      </c>
      <c r="U47" s="86" t="str">
        <f t="shared" si="2"/>
        <v>|</v>
      </c>
      <c r="V47" s="47" t="str">
        <f>IFx(Table4[[#This Row],[noCalc]],"", IFx(Table4[[#This Row],[reSpan]], re_group( V$4, , Table4[[#This Row],[before]] &amp; Table4[[#This Row],[reSpan]] &amp; Table4[[#This Row],[after]])))</f>
        <v/>
      </c>
      <c r="W47" s="87"/>
      <c r="X47" s="47" t="str">
        <f>IFx( Table4[[#This Row],[noCalc]], "", IFx(  Table4[[#This Row],[reHashRef]], re_group(X$4,, Table4[[#This Row],[begin]] &amp; Table4[[#This Row],[reHashRef]] &amp; Table4[[#This Row],[end]])))</f>
        <v/>
      </c>
      <c r="Y47" s="47" t="str">
        <f>re_group(Y$4,, Table4[[#This Row],[rePrelude]])</f>
        <v/>
      </c>
      <c r="Z47" s="87" t="str">
        <f>IFx(Table4[[#This Row],[noCalc]], "", IFx(Table4[[#This Row],[reSpiritSymbolChars]], re_group(  Z$4,,  Table4[[#This Row],[reSpiritDesignator]] &amp; Table4[[#This Row],[reLevel]])))</f>
        <v/>
      </c>
      <c r="AA47" s="87" t="str">
        <f>IFx( Table4[[#This Row],[noCalc]], "", IFx(Table4[[#This Row],[reSpiritSymbolChars]], re_group(  AA$4,,  Table4[[#This Row],[reSpiritSymbol]]  &amp; Table4[[#This Row],[reSpiritSymbolQ]] ) ))</f>
        <v/>
      </c>
      <c r="AB47" s="47"/>
      <c r="AC47" s="47" t="str">
        <f>IFx( Table4[[#This Row],[noCalc]], "", IFx(Table4[[#This Row],[reSpiritSymbolChars]], re_group(  AC$4,, re_bracket(1,,  Table4[[#This Row],[reSpiritSymbolChars]]) )))</f>
        <v/>
      </c>
      <c r="AD47" s="35"/>
      <c r="AE47" s="87" t="str">
        <f>IF(Table4[[#This Row],[noCalc]], "",  IFx(Table4[[#This Row],[reLevelChars]],  re_group(  AE$4,,  re_group_no_capture( 1,, re_bracket(1,, Table4[[#This Row],[reLevelChars]])) &amp; "?")))</f>
        <v/>
      </c>
      <c r="AF47" s="47"/>
      <c r="AG47" s="47"/>
      <c r="AH47" s="47" t="str">
        <f>IFx(Table4[[#This Row],[noCalc]], "", IFx( Table4[[#This Row],[reRefType]], re_group( AH$4,,Table4[[#This Row],[reRefType]] &amp; Table4[[#This Row],[reLabel]])))</f>
        <v/>
      </c>
      <c r="AI47" s="87" t="str">
        <f xml:space="preserve"> re_group( AI$4,,  Table4[[#This Row],[reHashSymbol]] &amp; Table4[[#This Row],[ReHashSymbolQ]] )</f>
        <v/>
      </c>
      <c r="AJ47" s="87" t="s">
        <v>138</v>
      </c>
      <c r="AK47" s="87" t="str">
        <f>re_group( AK$4,, re_bracket(1,, Table4[[#This Row],[reHashChars]]))</f>
        <v/>
      </c>
      <c r="AL47" s="87"/>
      <c r="AM47" s="87" t="str">
        <f>IFx(Table4[[#This Row],[noCalc]], "", re_group( AM$4,, re_tag_label_simple))</f>
        <v/>
      </c>
      <c r="AN47" s="47" t="str">
        <f>IFx(Table4[[#This Row],[noCalc]], "", re_group( AN$4,, re_tag_tail))</f>
        <v/>
      </c>
      <c r="AO47" s="47" t="str">
        <f>IFx(Table4[[#This Row],[noCalc]], "", re_group( AL$4,, re_tag_after))</f>
        <v/>
      </c>
      <c r="AP47" s="6" t="s">
        <v>138</v>
      </c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2:66" ht="18" thickBot="1">
      <c r="B48" s="48" t="s">
        <v>74</v>
      </c>
      <c r="C48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48" s="74" t="str">
        <f>IFx( Table4[[#This Row],[rule_name]], _xlfn.TEXTJOIN(" ",, "{", "include:", "'#" &amp; Table4[[#This Row],[rule_name]] &amp; "'", "}"))</f>
        <v/>
      </c>
      <c r="E48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48" s="67" t="str">
        <f>IF(Table4[[#This Row],[spirit]]="", "", re_surround(1,, "'", "'", SUBSTITUTE(meta_subscope_mask, spirit_placeholder, Table4[[#This Row],[spirit]])))</f>
        <v/>
      </c>
      <c r="G48" s="67" t="str">
        <f>IF(Table4[[#This Row],[spirit]]="", "", re_surround(1,, "'", "'", SUBSTITUTE(markup_subscope_mask, spirit_placeholder, Table4[[#This Row],[spirit]])))</f>
        <v/>
      </c>
      <c r="H48" s="69" t="str">
        <f>IF(Table4[[#This Row],[spirit]]="", "",  re_surround(1,, "'", "'",SUBSTITUTE(dynamic_subscope_mask, spirit_placeholder, Table4[[#This Row],[spirit]])))</f>
        <v/>
      </c>
      <c r="I48" s="97" t="str">
        <f>SUBSTITUTE(SUBSTITUTE(IF(Table4[[#This Row],[spirit]]="", "", Table4[[#This Row],[rule_name_pfx]] &amp; IF(Table4[[#This Row],[spirit]]="undef", "", Table4[[#This Row],[spirit]])), ".", "_"), "-", "_")</f>
        <v/>
      </c>
      <c r="J48" s="74"/>
      <c r="K48" s="74"/>
      <c r="L48" s="94"/>
      <c r="M48" s="91"/>
      <c r="N48" s="47" t="str">
        <f>"" &amp; IF( Table4[[#This Row],[use]] ="", "",  IFERROR(INDEX(TCfg, 0, MATCH(Table4[[#This Row],[use]], Table4[#Headers], 0)), ""))</f>
        <v/>
      </c>
      <c r="O48" s="47" t="s">
        <v>266</v>
      </c>
      <c r="P48" s="35"/>
      <c r="Q48" s="35"/>
      <c r="R48" s="47" t="b">
        <f>OR( Table4[[#This Row],[use]] = "", Table4[[#This Row],[use]] = "custom", Table4[[#This Row],[use]] = "alternate" )</f>
        <v>1</v>
      </c>
      <c r="S48" s="47" t="str">
        <f>re_surround(1,,"'", "'",  Table4[[#This Row],[re_escaped]])</f>
        <v/>
      </c>
      <c r="T48" s="47" t="str">
        <f>SUBSTITUTE(Table4[[#This Row],[regex]], "\", "\\")</f>
        <v/>
      </c>
      <c r="U48" s="86" t="str">
        <f t="shared" si="2"/>
        <v>|</v>
      </c>
      <c r="V48" s="47" t="str">
        <f>IFx(Table4[[#This Row],[noCalc]],"", IFx(Table4[[#This Row],[reSpan]], re_group( V$4, , Table4[[#This Row],[before]] &amp; Table4[[#This Row],[reSpan]] &amp; Table4[[#This Row],[after]])))</f>
        <v/>
      </c>
      <c r="W48" s="87"/>
      <c r="X48" s="47" t="str">
        <f>IFx( Table4[[#This Row],[noCalc]], "", IFx(  Table4[[#This Row],[reHashRef]], re_group(X$4,, Table4[[#This Row],[begin]] &amp; Table4[[#This Row],[reHashRef]] &amp; Table4[[#This Row],[end]])))</f>
        <v/>
      </c>
      <c r="Y48" s="47" t="str">
        <f>re_group(Y$4,, Table4[[#This Row],[rePrelude]])</f>
        <v/>
      </c>
      <c r="Z48" s="87" t="str">
        <f>IFx(Table4[[#This Row],[noCalc]], "", IFx(Table4[[#This Row],[reSpiritSymbolChars]], re_group(  Z$4,,  Table4[[#This Row],[reSpiritDesignator]] &amp; Table4[[#This Row],[reLevel]])))</f>
        <v/>
      </c>
      <c r="AA48" s="87" t="str">
        <f>IFx( Table4[[#This Row],[noCalc]], "", IFx(Table4[[#This Row],[reSpiritSymbolChars]], re_group(  AA$4,,  Table4[[#This Row],[reSpiritSymbol]]  &amp; Table4[[#This Row],[reSpiritSymbolQ]] ) ))</f>
        <v/>
      </c>
      <c r="AB48" s="47"/>
      <c r="AC48" s="47" t="str">
        <f>IFx( Table4[[#This Row],[noCalc]], "", IFx(Table4[[#This Row],[reSpiritSymbolChars]], re_group(  AC$4,, re_bracket(1,,  Table4[[#This Row],[reSpiritSymbolChars]]) )))</f>
        <v/>
      </c>
      <c r="AD48" s="35"/>
      <c r="AE48" s="87" t="str">
        <f>IF(Table4[[#This Row],[noCalc]], "",  IFx(Table4[[#This Row],[reLevelChars]],  re_group(  AE$4,,  re_group_no_capture( 1,, re_bracket(1,, Table4[[#This Row],[reLevelChars]])) &amp; "?")))</f>
        <v/>
      </c>
      <c r="AF48" s="47"/>
      <c r="AG48" s="47"/>
      <c r="AH48" s="47" t="str">
        <f>IFx(Table4[[#This Row],[noCalc]], "", IFx( Table4[[#This Row],[reRefType]], re_group( AH$4,,Table4[[#This Row],[reRefType]] &amp; Table4[[#This Row],[reLabel]])))</f>
        <v/>
      </c>
      <c r="AI48" s="87" t="str">
        <f xml:space="preserve"> re_group( AI$4,,  Table4[[#This Row],[reHashSymbol]] &amp; Table4[[#This Row],[ReHashSymbolQ]] )</f>
        <v/>
      </c>
      <c r="AJ48" s="87" t="s">
        <v>138</v>
      </c>
      <c r="AK48" s="87" t="str">
        <f>re_group( AK$4,, re_bracket(1,, Table4[[#This Row],[reHashChars]]))</f>
        <v/>
      </c>
      <c r="AL48" s="87"/>
      <c r="AM48" s="87" t="str">
        <f>IFx(Table4[[#This Row],[noCalc]], "", re_group( AM$4,, re_tag_label_simple))</f>
        <v/>
      </c>
      <c r="AN48" s="47" t="str">
        <f>IFx(Table4[[#This Row],[noCalc]], "", re_group( AN$4,, re_tag_tail))</f>
        <v/>
      </c>
      <c r="AO48" s="47" t="str">
        <f>IFx(Table4[[#This Row],[noCalc]], "", re_group( AL$4,, re_tag_after))</f>
        <v/>
      </c>
      <c r="AP48" s="6" t="s">
        <v>138</v>
      </c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2:66" s="3" customFormat="1" ht="18" thickBot="1">
      <c r="B49" s="48" t="s">
        <v>74</v>
      </c>
      <c r="C49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notelet: {
    match: '(?&lt;!\\w)(((([_\\-*!+&gt;?:\\,;&amp;~#@])+)((?:[0-9])?))((([#@])(((?:\\w|[\\-])+)))))\\b'
    captures: 
      1: name: 'meta.notelet.spirit-undef.text.noted'
      7: name: 'markup.standout.spirit-undef.spirit-marker-${3:/downcase}.spirit-symbol-${4:/downcase}.vigor-${5:/downcase}.text.noted'
    }
    </v>
      </c>
      <c r="D49" s="74" t="str">
        <f>IFx( Table4[[#This Row],[rule_name]], _xlfn.TEXTJOIN(" ",, "{", "include:", "'#" &amp; Table4[[#This Row],[rule_name]] &amp; "'", "}"))</f>
        <v>{ include: '#notelet' }</v>
      </c>
      <c r="E49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'(?&lt;!\\w)(((([_\\-*!+&gt;?:\\,;&amp;~#@])+)((?:[0-9])?))((([#@])(((?:\\w|[\\-])+)))))\\b'
captures: 
  1: name: 'meta.notelet.spirit-undef.text.noted'
  7: name: 'markup.standout.spirit-undef.spirit-marker-${3:/downcase}.spirit-symbol-${4:/downcase}.vigor-${5:/downcase}.text.noted'</v>
      </c>
      <c r="F49" s="67" t="str">
        <f>IF(Table4[[#This Row],[spirit]]="", "", re_surround(1,, "'", "'", SUBSTITUTE(meta_subscope_mask, spirit_placeholder, Table4[[#This Row],[spirit]])))</f>
        <v>'meta.notelet.spirit-undef.text.noted'</v>
      </c>
      <c r="G49" s="67" t="str">
        <f>IF(Table4[[#This Row],[spirit]]="", "", re_surround(1,, "'", "'", SUBSTITUTE(markup_subscope_mask, spirit_placeholder, Table4[[#This Row],[spirit]])))</f>
        <v>'markup.standout.spirit-undef.spirit-marker-${3:/downcase}.spirit-symbol-${4:/downcase}.vigor-${5:/downcase}.text.noted'</v>
      </c>
      <c r="H49" s="69" t="str">
        <f>IF(Table4[[#This Row],[spirit]]="", "",  re_surround(1,, "'", "'",SUBSTITUTE(dynamic_subscope_mask, spirit_placeholder, Table4[[#This Row],[spirit]])))</f>
        <v/>
      </c>
      <c r="I49" s="97" t="str">
        <f>SUBSTITUTE(SUBSTITUTE(IF(Table4[[#This Row],[spirit]]="", "", Table4[[#This Row],[rule_name_pfx]] &amp; IF(Table4[[#This Row],[spirit]]="undef", "", Table4[[#This Row],[spirit]])), ".", "_"), "-", "_")</f>
        <v>notelet</v>
      </c>
      <c r="J49" s="74" t="str">
        <f>ename</f>
        <v>notelet</v>
      </c>
      <c r="K49" s="74"/>
      <c r="L49" s="94" t="s">
        <v>292</v>
      </c>
      <c r="M49" s="91" t="s">
        <v>245</v>
      </c>
      <c r="N49" s="122" t="str">
        <f>"" &amp; IF( Table4[[#This Row],[use]] ="", "",  IFERROR(INDEX(TCfg, 0, MATCH(Table4[[#This Row],[use]], Table4[#Headers], 0)), ""))</f>
        <v>'(?&lt;!\\w)(((([_\\-*!+&gt;?:\\,;&amp;~#@])+)((?:[0-9])?))((([#@])(((?:\\w|[\\-])+)))))\\b'</v>
      </c>
      <c r="O49" s="47" t="s">
        <v>262</v>
      </c>
      <c r="P49" s="35"/>
      <c r="Q49" s="35"/>
      <c r="R49" s="47" t="b">
        <f>OR( Table4[[#This Row],[use]] = "", Table4[[#This Row],[use]] = "custom", Table4[[#This Row],[use]] = "alternate" )</f>
        <v>0</v>
      </c>
      <c r="S49" s="47" t="str">
        <f>re_surround(1,,"'", "'",  Table4[[#This Row],[re_escaped]])</f>
        <v>'(?&lt;!\\w)(((([_\\-*!+&gt;?:\\,;&amp;~#@])+)((?:[0-9])?))((([#@])(((?:\\w|[\\-])+)))))\\b'</v>
      </c>
      <c r="T49" s="47" t="str">
        <f>SUBSTITUTE(Table4[[#This Row],[regex]], "\", "\\")</f>
        <v>(?&lt;!\\w)(((([_\\-*!+&gt;?:\\,;&amp;~#@])+)((?:[0-9])?))((([#@])(((?:\\w|[\\-])+)))))\\b</v>
      </c>
      <c r="U49" s="86" t="str">
        <f t="shared" si="2"/>
        <v>|</v>
      </c>
      <c r="V49" s="47" t="str">
        <f>IFx(Table4[[#This Row],[noCalc]],"", IFx(Table4[[#This Row],[reSpan]], re_group( V$4, , Table4[[#This Row],[before]] &amp; Table4[[#This Row],[reSpan]] &amp; Table4[[#This Row],[after]])))</f>
        <v>(?&lt;!\w)(((([_\-*!+&gt;?:\,;&amp;~#@])+)((?:[0-9])?))((([#@])(((?:\w|[\-])+)))))\b</v>
      </c>
      <c r="W49" s="87" t="str">
        <f>IF(Table4[[#This Row],[noCalc]], "", re_group( T$4, , re_tag_before ))</f>
        <v>(?&lt;!\w)</v>
      </c>
      <c r="X49" s="47" t="str">
        <f>IFx( Table4[[#This Row],[noCalc]], "", IFx(  Table4[[#This Row],[reHashRef]], re_group(X$4,, Table4[[#This Row],[begin]] &amp; Table4[[#This Row],[reHashRef]] &amp; Table4[[#This Row],[end]])))</f>
        <v>(((([_\-*!+&gt;?:\,;&amp;~#@])+)((?:[0-9])?))((([#@])(((?:\w|[\-])+)))))</v>
      </c>
      <c r="Y49" s="47" t="str">
        <f>re_group(Y$4,, Table4[[#This Row],[rePrelude]])</f>
        <v>((([_\-*!+&gt;?:\,;&amp;~#@])+)((?:[0-9])?))</v>
      </c>
      <c r="Z49" s="87" t="str">
        <f>IFx(Table4[[#This Row],[noCalc]], "", IFx(Table4[[#This Row],[reSpiritSymbolChars]], re_group(  Z$4,,  Table4[[#This Row],[reSpiritDesignator]] &amp; Table4[[#This Row],[reLevel]])))</f>
        <v>((([_\-*!+&gt;?:\,;&amp;~#@])+)((?:[0-9])?))</v>
      </c>
      <c r="AA49" s="87" t="str">
        <f>IFx( Table4[[#This Row],[noCalc]], "", IFx(Table4[[#This Row],[reSpiritSymbolChars]], re_group(  AA$4,,  Table4[[#This Row],[reSpiritSymbol]]  &amp; Table4[[#This Row],[reSpiritSymbolQ]] ) ))</f>
        <v>(([_\-*!+&gt;?:\,;&amp;~#@])+)</v>
      </c>
      <c r="AB49" s="89" t="s">
        <v>240</v>
      </c>
      <c r="AC49" s="89" t="str">
        <f>IFx( Table4[[#This Row],[noCalc]], "", IFx(Table4[[#This Row],[reSpiritSymbolChars]], re_group(  AC$4,, re_bracket(1,,  Table4[[#This Row],[reSpiritSymbolChars]]) )))</f>
        <v>([_\-*!+&gt;?:\,;&amp;~#@])</v>
      </c>
      <c r="AD49" s="35" t="str">
        <f>_xlfn.TEXTJOIN("", , AD52:AD64)</f>
        <v>_\-*!+&gt;?:\,;&amp;~#@</v>
      </c>
      <c r="AE49" s="87" t="str">
        <f>IF(Table4[[#This Row],[noCalc]], "",  IFx(Table4[[#This Row],[reLevelChars]],  re_group(  AE$4,,  re_group_no_capture( 1,, re_bracket(1,, Table4[[#This Row],[reLevelChars]])) &amp; "?")))</f>
        <v>((?:[0-9])?)</v>
      </c>
      <c r="AF49" s="87" t="s">
        <v>253</v>
      </c>
      <c r="AG49" s="87" t="s">
        <v>314</v>
      </c>
      <c r="AH49" s="47" t="str">
        <f>IFx(Table4[[#This Row],[noCalc]], "", IFx( Table4[[#This Row],[reRefType]], re_group( AH$4,,Table4[[#This Row],[reRefType]] &amp; Table4[[#This Row],[reLabel]])))</f>
        <v>((([#@])(((?:\w|[\-])+))))</v>
      </c>
      <c r="AI49" s="87" t="str">
        <f xml:space="preserve"> re_group( AI$4,,  Table4[[#This Row],[reHashSymbol]] &amp; Table4[[#This Row],[ReHashSymbolQ]] )</f>
        <v>([#@])</v>
      </c>
      <c r="AJ49" s="87" t="s">
        <v>138</v>
      </c>
      <c r="AK49" s="87" t="str">
        <f>re_group( AK$4,, re_bracket(1,, Table4[[#This Row],[reHashChars]]))</f>
        <v>[#@]</v>
      </c>
      <c r="AL49" s="90" t="s">
        <v>241</v>
      </c>
      <c r="AM49" s="87" t="str">
        <f>IFx(Table4[[#This Row],[noCalc]], "", re_group( AM$4,, re_tag_label_simple))</f>
        <v>(((?:\w|[\-])+))</v>
      </c>
      <c r="AN49" s="47" t="str">
        <f>IFx(Table4[[#This Row],[noCalc]], "", re_group( AN$4,, re_tag_tail))</f>
        <v/>
      </c>
      <c r="AO49" s="47" t="str">
        <f>IFx(Table4[[#This Row],[noCalc]], "", re_group( AL$4,, re_tag_after))</f>
        <v>\b</v>
      </c>
      <c r="AP49" s="6" t="s">
        <v>138</v>
      </c>
    </row>
    <row r="50" spans="2:66" ht="17" customHeight="1">
      <c r="B50" s="70" t="s">
        <v>74</v>
      </c>
      <c r="C50" s="76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/>
      </c>
      <c r="D50" s="76" t="str">
        <f>IFx( Table4[[#This Row],[rule_name]], _xlfn.TEXTJOIN(" ",, "{", "include:", "'#" &amp; Table4[[#This Row],[rule_name]] &amp; "'", "}"))</f>
        <v/>
      </c>
      <c r="E50" s="76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/>
      </c>
      <c r="F50" s="71" t="str">
        <f>IF(Table4[[#This Row],[spirit]]="", "", re_surround(1,, "'", "'", SUBSTITUTE(meta_subscope_mask, spirit_placeholder, Table4[[#This Row],[spirit]])))</f>
        <v/>
      </c>
      <c r="G50" s="71" t="str">
        <f>IF(Table4[[#This Row],[spirit]]="", "", re_surround(1,, "'", "'", SUBSTITUTE(markup_subscope_mask, spirit_placeholder, Table4[[#This Row],[spirit]])))</f>
        <v/>
      </c>
      <c r="H50" s="72" t="str">
        <f>IF(Table4[[#This Row],[spirit]]="", "",  re_surround(1,, "'", "'",SUBSTITUTE(dynamic_subscope_mask, spirit_placeholder, Table4[[#This Row],[spirit]])))</f>
        <v/>
      </c>
      <c r="I50" s="98" t="str">
        <f>SUBSTITUTE(SUBSTITUTE(IF(Table4[[#This Row],[spirit]]="", "", Table4[[#This Row],[rule_name_pfx]] &amp; IF(Table4[[#This Row],[spirit]]="undef", "", Table4[[#This Row],[spirit]])), ".", "_"), "-", "_")</f>
        <v/>
      </c>
      <c r="J50" s="76"/>
      <c r="K50" s="76"/>
      <c r="L50" s="95"/>
      <c r="M50" s="92"/>
      <c r="N50" s="73" t="str">
        <f>"" &amp; IF( Table4[[#This Row],[use]] ="", "",  IFERROR(INDEX(TCfg, 0, MATCH(Table4[[#This Row],[use]], Table4[#Headers], 0)), ""))</f>
        <v/>
      </c>
      <c r="O50" s="73"/>
      <c r="P50" s="73"/>
      <c r="Q50" s="73"/>
      <c r="R50" s="47" t="b">
        <f>OR( Table4[[#This Row],[use]] = "", Table4[[#This Row],[use]] = "custom", Table4[[#This Row],[use]] = "alternate" )</f>
        <v>1</v>
      </c>
      <c r="S50" s="47" t="str">
        <f>re_surround(1,,"'", "'",  Table4[[#This Row],[re_escaped]])</f>
        <v/>
      </c>
      <c r="T50" s="47" t="str">
        <f>SUBSTITUTE(Table4[[#This Row],[regex]], "\", "\\")</f>
        <v/>
      </c>
      <c r="U50" s="86" t="str">
        <f t="shared" si="2"/>
        <v>|</v>
      </c>
      <c r="V50" s="47" t="str">
        <f>IFx(Table4[[#This Row],[noCalc]],"", IFx(Table4[[#This Row],[reSpan]], re_group( V$4, , Table4[[#This Row],[before]] &amp; Table4[[#This Row],[reSpan]] &amp; Table4[[#This Row],[after]])))</f>
        <v/>
      </c>
      <c r="W50" s="87"/>
      <c r="X50" s="47" t="str">
        <f>IFx( Table4[[#This Row],[noCalc]], "", IFx(  Table4[[#This Row],[reHashRef]], re_group(X$4,, Table4[[#This Row],[begin]] &amp; Table4[[#This Row],[reHashRef]] &amp; Table4[[#This Row],[end]])))</f>
        <v/>
      </c>
      <c r="Y50" s="47" t="str">
        <f>re_group(Y$4,, Table4[[#This Row],[rePrelude]])</f>
        <v/>
      </c>
      <c r="Z50" s="87" t="str">
        <f>IFx(Table4[[#This Row],[noCalc]], "", IFx(Table4[[#This Row],[reSpiritSymbolChars]], re_group(  Z$4,,  Table4[[#This Row],[reSpiritDesignator]] &amp; Table4[[#This Row],[reLevel]])))</f>
        <v/>
      </c>
      <c r="AA50" s="87" t="str">
        <f>IFx( Table4[[#This Row],[noCalc]], "", IFx(Table4[[#This Row],[reSpiritSymbolChars]], re_group(  AA$4,,  Table4[[#This Row],[reSpiritSymbol]]  &amp; Table4[[#This Row],[reSpiritSymbolQ]] ) ))</f>
        <v/>
      </c>
      <c r="AB50" s="47"/>
      <c r="AC50" s="47" t="str">
        <f>IFx( Table4[[#This Row],[noCalc]], "", IFx(Table4[[#This Row],[reSpiritSymbolChars]], re_group(  AC$4,, re_bracket(1,,  Table4[[#This Row],[reSpiritSymbolChars]]) )))</f>
        <v/>
      </c>
      <c r="AD50" s="35"/>
      <c r="AE50" s="87" t="str">
        <f>IF(Table4[[#This Row],[noCalc]], "",  IFx(Table4[[#This Row],[reLevelChars]],  re_group(  AE$4,,  re_group_no_capture( 1,, re_bracket(1,, Table4[[#This Row],[reLevelChars]])) &amp; "?")))</f>
        <v/>
      </c>
      <c r="AF50" s="47"/>
      <c r="AG50" s="47"/>
      <c r="AH50" s="47" t="str">
        <f>IFx(Table4[[#This Row],[noCalc]], "", IFx( Table4[[#This Row],[reRefType]], re_group( AH$4,,Table4[[#This Row],[reRefType]] &amp; Table4[[#This Row],[reLabel]])))</f>
        <v/>
      </c>
      <c r="AI50" s="87" t="str">
        <f xml:space="preserve"> re_group( AI$4,,  Table4[[#This Row],[reHashSymbol]] &amp; Table4[[#This Row],[ReHashSymbolQ]] )</f>
        <v/>
      </c>
      <c r="AJ50" s="87" t="s">
        <v>138</v>
      </c>
      <c r="AK50" s="87" t="str">
        <f>re_group( AK$4,, re_bracket(1,, Table4[[#This Row],[reHashChars]]))</f>
        <v/>
      </c>
      <c r="AL50" s="87"/>
      <c r="AM50" s="87" t="str">
        <f>IFx(Table4[[#This Row],[noCalc]], "", re_group( AM$4,, re_tag_label_simple))</f>
        <v/>
      </c>
      <c r="AN50" s="47" t="str">
        <f>IFx(Table4[[#This Row],[noCalc]], "", re_group( AN$4,, re_tag_tail))</f>
        <v/>
      </c>
      <c r="AO50" s="47" t="str">
        <f>IFx(Table4[[#This Row],[noCalc]], "", re_group( AL$4,, re_tag_after))</f>
        <v/>
      </c>
      <c r="AP50" s="6" t="s">
        <v>138</v>
      </c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2:66">
      <c r="B51" s="48" t="s">
        <v>74</v>
      </c>
      <c r="C51" s="74" t="str">
        <f>IFx(Table4[[#This Row],[spirit]],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notelet_shaky: {
    match: '^(((([%])+)((?:[0-8])?))((([#@])(((?:\\w|[\\-])+)))))$'
    captures: 
      1: name: 'meta.notelet.spirit-shaky.text.noted'
      7: name: 'markup.standout.spirit-shaky.spirit-marker-${3:/downcase}.spirit-symbol-${4:/downcase}.vigor-${5:/downcase}.text.noted'
    }
    </v>
      </c>
      <c r="D51" s="74" t="str">
        <f>IFx( Table4[[#This Row],[rule_name]], _xlfn.TEXTJOIN(" ",, "{", "include:", "'#" &amp; Table4[[#This Row],[rule_name]] &amp; "'", "}"))</f>
        <v>{ include: '#notelet_shaky' }</v>
      </c>
      <c r="E51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'^(((([%])+)((?:[0-8])?))((([#@])(((?:\\w|[\\-])+)))))$'
captures: 
  1: name: 'meta.notelet.spirit-shaky.text.noted'
  7: name: 'markup.standout.spirit-shaky.spirit-marker-${3:/downcase}.spirit-symbol-${4:/downcase}.vigor-${5:/downcase}.text.noted'</v>
      </c>
      <c r="F51" s="67" t="str">
        <f>IF(Table4[[#This Row],[spirit]]="", "", re_surround(1,, "'", "'", SUBSTITUTE(meta_subscope_mask, spirit_placeholder, Table4[[#This Row],[spirit]])))</f>
        <v>'meta.notelet.spirit-shaky.text.noted'</v>
      </c>
      <c r="G51" s="67" t="str">
        <f>IF(Table4[[#This Row],[spirit]]="", "", re_surround(1,, "'", "'", SUBSTITUTE(markup_subscope_mask, spirit_placeholder, Table4[[#This Row],[spirit]])))</f>
        <v>'markup.standout.spirit-shaky.spirit-marker-${3:/downcase}.spirit-symbol-${4:/downcase}.vigor-${5:/downcase}.text.noted'</v>
      </c>
      <c r="H51" s="69" t="str">
        <f>IF(Table4[[#This Row],[spirit]]="", "",  re_surround(1,, "'", "'",SUBSTITUTE(dynamic_subscope_mask, spirit_placeholder, Table4[[#This Row],[spirit]])))</f>
        <v/>
      </c>
      <c r="I51" s="97" t="str">
        <f>SUBSTITUTE(SUBSTITUTE(IF(Table4[[#This Row],[spirit]]="", "", Table4[[#This Row],[rule_name_pfx]] &amp; IF(Table4[[#This Row],[spirit]]="undef", "", Table4[[#This Row],[spirit]])), ".", "_"), "-", "_")</f>
        <v>notelet_shaky</v>
      </c>
      <c r="J51" s="74" t="str">
        <f>ename &amp; "_"</f>
        <v>notelet_</v>
      </c>
      <c r="K51" s="74">
        <v>24</v>
      </c>
      <c r="L51" s="94" t="s">
        <v>351</v>
      </c>
      <c r="M51" s="91" t="str">
        <f>"re_tag_" &amp; Table4[[#This Row],[spirit]]</f>
        <v>re_tag_shaky</v>
      </c>
      <c r="N51" s="47" t="str">
        <f>"" &amp; IF( Table4[[#This Row],[use]] ="", "",  IFERROR(INDEX(TCfg, 0, MATCH(Table4[[#This Row],[use]], Table4[#Headers], 0)), ""))</f>
        <v>'^(((([%])+)((?:[0-8])?))((([#@])(((?:\\w|[\\-])+)))))$'</v>
      </c>
      <c r="O51" s="47" t="s">
        <v>262</v>
      </c>
      <c r="P51" s="35"/>
      <c r="Q51" s="35"/>
      <c r="R51" s="47" t="b">
        <f>OR( Table4[[#This Row],[use]] = "", Table4[[#This Row],[use]] = "custom", Table4[[#This Row],[use]] = "alternate" )</f>
        <v>0</v>
      </c>
      <c r="S51" s="47" t="str">
        <f>re_surround(1,,"'", "'",  Table4[[#This Row],[re_escaped]])</f>
        <v>'^(((([%])+)((?:[0-8])?))((([#@])(((?:\\w|[\\-])+)))))$'</v>
      </c>
      <c r="T51" s="47" t="str">
        <f>SUBSTITUTE(Table4[[#This Row],[regex]], "\", "\\")</f>
        <v>^(((([%])+)((?:[0-8])?))((([#@])(((?:\\w|[\\-])+)))))$</v>
      </c>
      <c r="U51" s="86" t="str">
        <f>"|"</f>
        <v>|</v>
      </c>
      <c r="V51" s="47" t="str">
        <f>IFx(Table4[[#This Row],[noCalc]],"", IFx(Table4[[#This Row],[reSpan]], re_group( V$4, , Table4[[#This Row],[before]] &amp; Table4[[#This Row],[reSpan]] &amp; Table4[[#This Row],[after]])))</f>
        <v>^(((([%])+)((?:[0-8])?))((([#@])(((?:\w|[\-])+)))))$</v>
      </c>
      <c r="W51" s="87" t="str">
        <f>re_tag_before_simple</f>
        <v>^</v>
      </c>
      <c r="X51" s="47" t="str">
        <f>IFx( Table4[[#This Row],[noCalc]], "", IFx(  Table4[[#This Row],[reHashRef]], re_group(X$4,, Table4[[#This Row],[begin]] &amp; Table4[[#This Row],[reHashRef]] &amp; Table4[[#This Row],[end]])))</f>
        <v>(((([%])+)((?:[0-8])?))((([#@])(((?:\w|[\-])+)))))</v>
      </c>
      <c r="Y51" s="47" t="str">
        <f>re_group(Y$4,, Table4[[#This Row],[rePrelude]])</f>
        <v>((([%])+)((?:[0-8])?))</v>
      </c>
      <c r="Z51" s="87" t="str">
        <f>IFx(Table4[[#This Row],[noCalc]], "", IFx(Table4[[#This Row],[reSpiritSymbolChars]], re_group(  Z$4,,  Table4[[#This Row],[reSpiritDesignator]] &amp; Table4[[#This Row],[reLevel]])))</f>
        <v>((([%])+)((?:[0-8])?))</v>
      </c>
      <c r="AA51" s="87" t="str">
        <f>IFx( Table4[[#This Row],[noCalc]], "", IFx(Table4[[#This Row],[reSpiritSymbolChars]], re_group(  AA$4,,  Table4[[#This Row],[reSpiritSymbol]]  &amp; Table4[[#This Row],[reSpiritSymbolQ]] ) ))</f>
        <v>(([%])+)</v>
      </c>
      <c r="AB51" s="87" t="s">
        <v>240</v>
      </c>
      <c r="AC51" s="87" t="str">
        <f>IFx( Table4[[#This Row],[noCalc]], "", IFx(Table4[[#This Row],[reSpiritSymbolChars]], re_group(  AC$4,, re_bracket(1,,  Table4[[#This Row],[reSpiritSymbolChars]]) )))</f>
        <v>([%])</v>
      </c>
      <c r="AD51" s="101" t="s">
        <v>243</v>
      </c>
      <c r="AE51" s="87" t="str">
        <f>IF(Table4[[#This Row],[noCalc]], "",  IFx(Table4[[#This Row],[reLevelChars]],  re_group(  AE$4,,  re_group_no_capture( 1,, re_bracket(1,, Table4[[#This Row],[reLevelChars]])) &amp; "?")))</f>
        <v>((?:[0-8])?)</v>
      </c>
      <c r="AF51" s="87" t="s">
        <v>253</v>
      </c>
      <c r="AG51" s="87" t="s">
        <v>350</v>
      </c>
      <c r="AH51" s="47" t="str">
        <f>IFx(Table4[[#This Row],[noCalc]], "", IFx( Table4[[#This Row],[reRefType]], re_group( AH$4,,Table4[[#This Row],[reRefType]] &amp; Table4[[#This Row],[reLabel]])))</f>
        <v>((([#@])(((?:\w|[\-])+))))</v>
      </c>
      <c r="AI51" s="87" t="str">
        <f xml:space="preserve"> re_group( AI$4,,  Table4[[#This Row],[reHashSymbol]] &amp; Table4[[#This Row],[ReHashSymbolQ]] )</f>
        <v>([#@])</v>
      </c>
      <c r="AJ51" s="87" t="s">
        <v>138</v>
      </c>
      <c r="AK51" s="87" t="str">
        <f>re_group( AK$4,, re_bracket(1,, Table4[[#This Row],[reHashChars]]))</f>
        <v>[#@]</v>
      </c>
      <c r="AL51" s="90" t="str">
        <f>cs_tag_type</f>
        <v>#@</v>
      </c>
      <c r="AM51" s="87" t="str">
        <f>IFx(Table4[[#This Row],[noCalc]], "", re_group( AM$4,, re_tag_label_simple))</f>
        <v>(((?:\w|[\-])+))</v>
      </c>
      <c r="AN51" s="47" t="str">
        <f>IFx(Table4[[#This Row],[noCalc]], "", re_group( AN$4,, re_tag_tail))</f>
        <v/>
      </c>
      <c r="AO51" s="47" t="str">
        <f>re_tag_after_simple</f>
        <v>$</v>
      </c>
      <c r="AP51" s="6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2:66" ht="21" customHeight="1">
      <c r="B52" s="48" t="s">
        <v>74</v>
      </c>
      <c r="C52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notelet_spooky: {
    match: '^(((([_])+)((?:[0-9])?))((([#@])(((?:\\w|[\\-])+)))))$'
    captures: 
      1: name: 'meta.notelet.spirit-spooky.text.noted'
      7: name: 'markup.standout.spirit-spooky.spirit-marker-${3:/downcase}.spirit-symbol-${4:/downcase}.vigor-${5:/downcase}.text.noted'
    }
    </v>
      </c>
      <c r="D52" s="74" t="str">
        <f>IFx( Table4[[#This Row],[rule_name]], _xlfn.TEXTJOIN(" ",, "{", "include:", "'#" &amp; Table4[[#This Row],[rule_name]] &amp; "'", "}"))</f>
        <v>{ include: '#notelet_spooky' }</v>
      </c>
      <c r="E52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'^(((([_])+)((?:[0-9])?))((([#@])(((?:\\w|[\\-])+)))))$'
captures: 
  1: name: 'meta.notelet.spirit-spooky.text.noted'
  7: name: 'markup.standout.spirit-spooky.spirit-marker-${3:/downcase}.spirit-symbol-${4:/downcase}.vigor-${5:/downcase}.text.noted'</v>
      </c>
      <c r="F52" s="67" t="str">
        <f>IF(Table4[[#This Row],[spirit]]="", "", re_surround(1,, "'", "'", SUBSTITUTE(meta_subscope_mask, spirit_placeholder, Table4[[#This Row],[spirit]])))</f>
        <v>'meta.notelet.spirit-spooky.text.noted'</v>
      </c>
      <c r="G52" s="67" t="str">
        <f>IF(Table4[[#This Row],[spirit]]="", "", re_surround(1,, "'", "'", SUBSTITUTE(markup_subscope_mask, spirit_placeholder, Table4[[#This Row],[spirit]])))</f>
        <v>'markup.standout.spirit-spooky.spirit-marker-${3:/downcase}.spirit-symbol-${4:/downcase}.vigor-${5:/downcase}.text.noted'</v>
      </c>
      <c r="H52" s="69" t="str">
        <f>IF(Table4[[#This Row],[spirit]]="", "",  re_surround(1,, "'", "'",SUBSTITUTE(dynamic_subscope_mask, spirit_placeholder, Table4[[#This Row],[spirit]])))</f>
        <v/>
      </c>
      <c r="I52" s="67" t="str">
        <f>SUBSTITUTE(SUBSTITUTE(IF(Table4[[#This Row],[spirit]]="", "", Table4[[#This Row],[rule_name_pfx]] &amp; IF(Table4[[#This Row],[spirit]]="undef", "", Table4[[#This Row],[spirit]])), ".", "_"), "-", "_")</f>
        <v>notelet_spooky</v>
      </c>
      <c r="J52" s="74" t="str">
        <f>ename &amp; "_"</f>
        <v>notelet_</v>
      </c>
      <c r="K52" s="74">
        <v>20</v>
      </c>
      <c r="L52" s="94" t="s">
        <v>233</v>
      </c>
      <c r="M52" s="91" t="str">
        <f>"re_tag_" &amp; Table4[[#This Row],[spirit]]</f>
        <v>re_tag_spooky</v>
      </c>
      <c r="N52" s="47" t="str">
        <f>"" &amp; IF( Table4[[#This Row],[use]] ="", "",  IFERROR(INDEX(TCfg, 0, MATCH(Table4[[#This Row],[use]], Table4[#Headers], 0)), ""))</f>
        <v>'^(((([_])+)((?:[0-9])?))((([#@])(((?:\\w|[\\-])+)))))$'</v>
      </c>
      <c r="O52" s="47" t="str">
        <f>"re_atomized"</f>
        <v>re_atomized</v>
      </c>
      <c r="P52" s="35"/>
      <c r="Q52" s="35"/>
      <c r="R52" s="47" t="b">
        <f>OR( Table4[[#This Row],[use]] = "", Table4[[#This Row],[use]] = "custom", Table4[[#This Row],[use]] = "alternate" )</f>
        <v>0</v>
      </c>
      <c r="S52" s="47" t="str">
        <f>re_surround(1,,"'", "'",  Table4[[#This Row],[re_escaped]])</f>
        <v>'^(((([_])+)((?:[0-9])?))((([#@])(((?:\\w|[\\-])+)))))$'</v>
      </c>
      <c r="T52" s="47" t="str">
        <f>SUBSTITUTE(Table4[[#This Row],[regex]], "\", "\\")</f>
        <v>^(((([_])+)((?:[0-9])?))((([#@])(((?:\\w|[\\-])+)))))$</v>
      </c>
      <c r="U52" s="86" t="str">
        <f>"|"</f>
        <v>|</v>
      </c>
      <c r="V52" s="47" t="str">
        <f>IFx(Table4[[#This Row],[noCalc]],"", IFx(Table4[[#This Row],[reSpan]], re_group( V$4, , Table4[[#This Row],[before]] &amp; Table4[[#This Row],[reSpan]] &amp; Table4[[#This Row],[after]])))</f>
        <v>^(((([_])+)((?:[0-9])?))((([#@])(((?:\w|[\-])+)))))$</v>
      </c>
      <c r="W52" s="87" t="str">
        <f>re_tag_before_simple</f>
        <v>^</v>
      </c>
      <c r="X52" s="47" t="str">
        <f>IFx( Table4[[#This Row],[noCalc]], "", IFx(  Table4[[#This Row],[reHashRef]], re_group(X$4,, Table4[[#This Row],[begin]] &amp; Table4[[#This Row],[reHashRef]] &amp; Table4[[#This Row],[end]])))</f>
        <v>(((([_])+)((?:[0-9])?))((([#@])(((?:\w|[\-])+)))))</v>
      </c>
      <c r="Y52" s="47" t="str">
        <f>re_group(Y$4,, Table4[[#This Row],[rePrelude]])</f>
        <v>((([_])+)((?:[0-9])?))</v>
      </c>
      <c r="Z52" s="87" t="str">
        <f>IFx(Table4[[#This Row],[noCalc]], "", IFx(Table4[[#This Row],[reSpiritSymbolChars]], re_group(  Z$4,,  Table4[[#This Row],[reSpiritDesignator]] &amp; Table4[[#This Row],[reLevel]])))</f>
        <v>((([_])+)((?:[0-9])?))</v>
      </c>
      <c r="AA52" s="87" t="str">
        <f>IFx( Table4[[#This Row],[noCalc]], "", IFx(Table4[[#This Row],[reSpiritSymbolChars]], re_group(  AA$4,,  Table4[[#This Row],[reSpiritSymbol]]  &amp; Table4[[#This Row],[reSpiritSymbolQ]] ) ))</f>
        <v>(([_])+)</v>
      </c>
      <c r="AB52" s="87" t="s">
        <v>240</v>
      </c>
      <c r="AC52" s="87" t="str">
        <f>IFx( Table4[[#This Row],[noCalc]], "", IFx(Table4[[#This Row],[reSpiritSymbolChars]], re_group(  AC$4,, re_bracket(1,,  Table4[[#This Row],[reSpiritSymbolChars]]) )))</f>
        <v>([_])</v>
      </c>
      <c r="AD52" s="51" t="s">
        <v>349</v>
      </c>
      <c r="AE52" s="87" t="str">
        <f>IF(Table4[[#This Row],[noCalc]], "",  IFx(Table4[[#This Row],[reLevelChars]],  re_group(  AE$4,,  re_group_no_capture( 1,, re_bracket(1,, Table4[[#This Row],[reLevelChars]])) &amp; "?")))</f>
        <v>((?:[0-9])?)</v>
      </c>
      <c r="AF52" s="87" t="s">
        <v>253</v>
      </c>
      <c r="AG52" s="87" t="s">
        <v>314</v>
      </c>
      <c r="AH52" s="47" t="str">
        <f>IFx(Table4[[#This Row],[noCalc]], "", IFx( Table4[[#This Row],[reRefType]], re_group( AH$4,,Table4[[#This Row],[reRefType]] &amp; Table4[[#This Row],[reLabel]])))</f>
        <v>((([#@])(((?:\w|[\-])+))))</v>
      </c>
      <c r="AI52" s="87" t="str">
        <f xml:space="preserve"> re_group( AI$4,,  Table4[[#This Row],[reHashSymbol]] &amp; Table4[[#This Row],[ReHashSymbolQ]] )</f>
        <v>([#@])</v>
      </c>
      <c r="AJ52" s="87" t="s">
        <v>138</v>
      </c>
      <c r="AK52" s="87" t="str">
        <f>re_group( AK$4,, re_bracket(1,, Table4[[#This Row],[reHashChars]]))</f>
        <v>[#@]</v>
      </c>
      <c r="AL52" s="90" t="str">
        <f>cs_tag_type</f>
        <v>#@</v>
      </c>
      <c r="AM52" s="87" t="str">
        <f>IFx(Table4[[#This Row],[noCalc]], "", re_group( AM$4,, re_tag_label_simple))</f>
        <v>(((?:\w|[\-])+))</v>
      </c>
      <c r="AN52" s="47" t="str">
        <f>IFx(Table4[[#This Row],[noCalc]], "", re_group( AN$4,, re_tag_tail))</f>
        <v/>
      </c>
      <c r="AO52" s="47" t="str">
        <f>re_tag_after_simple</f>
        <v>$</v>
      </c>
      <c r="AP52" s="125" t="s">
        <v>138</v>
      </c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2:66">
      <c r="B53" s="48" t="s">
        <v>74</v>
      </c>
      <c r="C53" s="74" t="str">
        <f>IFx(Table4[[#This Row],[spirit]],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notelet_bad: {
    match: '^(((([\\-])+)((?:[0-9])?))((([#@])(((?:\\w|[\\-])+)))))$'
    captures: 
      1: name: 'meta.notelet.spirit-bad.text.noted'
      7: name: 'markup.standout.spirit-bad.spirit-marker-${3:/downcase}.spirit-symbol-${4:/downcase}.vigor-${5:/downcase}.text.noted'
    }
    </v>
      </c>
      <c r="D53" s="74" t="str">
        <f>IFx( Table4[[#This Row],[rule_name]], _xlfn.TEXTJOIN(" ",, "{", "include:", "'#" &amp; Table4[[#This Row],[rule_name]] &amp; "'", "}"))</f>
        <v>{ include: '#notelet_bad' }</v>
      </c>
      <c r="E53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'^(((([\\-])+)((?:[0-9])?))((([#@])(((?:\\w|[\\-])+)))))$'
captures: 
  1: name: 'meta.notelet.spirit-bad.text.noted'
  7: name: 'markup.standout.spirit-bad.spirit-marker-${3:/downcase}.spirit-symbol-${4:/downcase}.vigor-${5:/downcase}.text.noted'</v>
      </c>
      <c r="F53" s="67" t="str">
        <f>IF(Table4[[#This Row],[spirit]]="", "", re_surround(1,, "'", "'", SUBSTITUTE(meta_subscope_mask, spirit_placeholder, Table4[[#This Row],[spirit]])))</f>
        <v>'meta.notelet.spirit-bad.text.noted'</v>
      </c>
      <c r="G53" s="67" t="str">
        <f>IF(Table4[[#This Row],[spirit]]="", "", re_surround(1,, "'", "'", SUBSTITUTE(markup_subscope_mask, spirit_placeholder, Table4[[#This Row],[spirit]])))</f>
        <v>'markup.standout.spirit-bad.spirit-marker-${3:/downcase}.spirit-symbol-${4:/downcase}.vigor-${5:/downcase}.text.noted'</v>
      </c>
      <c r="H53" s="69" t="str">
        <f>IF(Table4[[#This Row],[spirit]]="", "",  re_surround(1,, "'", "'",SUBSTITUTE(dynamic_subscope_mask, spirit_placeholder, Table4[[#This Row],[spirit]])))</f>
        <v/>
      </c>
      <c r="I53" s="97" t="str">
        <f>SUBSTITUTE(SUBSTITUTE(IF(Table4[[#This Row],[spirit]]="", "", Table4[[#This Row],[rule_name_pfx]] &amp; IF(Table4[[#This Row],[spirit]]="undef", "", Table4[[#This Row],[spirit]])), ".", "_"), "-", "_")</f>
        <v>notelet_bad</v>
      </c>
      <c r="J53" s="74" t="str">
        <f>ename &amp; "_"</f>
        <v>notelet_</v>
      </c>
      <c r="K53" s="74">
        <v>25</v>
      </c>
      <c r="L53" s="94" t="s">
        <v>65</v>
      </c>
      <c r="M53" s="91" t="str">
        <f>"re_tag_" &amp; Table4[[#This Row],[spirit]]</f>
        <v>re_tag_bad</v>
      </c>
      <c r="N53" s="47" t="str">
        <f>"" &amp; IF( Table4[[#This Row],[use]] ="", "",  IFERROR(INDEX(TCfg, 0, MATCH(Table4[[#This Row],[use]], Table4[#Headers], 0)), ""))</f>
        <v>'^(((([\\-])+)((?:[0-9])?))((([#@])(((?:\\w|[\\-])+)))))$'</v>
      </c>
      <c r="O53" s="47" t="s">
        <v>262</v>
      </c>
      <c r="P53" s="35"/>
      <c r="Q53" s="35"/>
      <c r="R53" s="47" t="b">
        <f>OR( Table4[[#This Row],[use]] = "", Table4[[#This Row],[use]] = "custom", Table4[[#This Row],[use]] = "alternate" )</f>
        <v>0</v>
      </c>
      <c r="S53" s="47" t="str">
        <f>re_surround(1,,"'", "'",  Table4[[#This Row],[re_escaped]])</f>
        <v>'^(((([\\-])+)((?:[0-9])?))((([#@])(((?:\\w|[\\-])+)))))$'</v>
      </c>
      <c r="T53" s="47" t="str">
        <f>SUBSTITUTE(Table4[[#This Row],[regex]], "\", "\\")</f>
        <v>^(((([\\-])+)((?:[0-9])?))((([#@])(((?:\\w|[\\-])+)))))$</v>
      </c>
      <c r="U53" s="86" t="str">
        <f>"|"</f>
        <v>|</v>
      </c>
      <c r="V53" s="47" t="str">
        <f>IFx(Table4[[#This Row],[noCalc]],"", IFx(Table4[[#This Row],[reSpan]], re_group( V$4, , Table4[[#This Row],[before]] &amp; Table4[[#This Row],[reSpan]] &amp; Table4[[#This Row],[after]])))</f>
        <v>^(((([\-])+)((?:[0-9])?))((([#@])(((?:\w|[\-])+)))))$</v>
      </c>
      <c r="W53" s="87" t="str">
        <f>re_tag_before_simple</f>
        <v>^</v>
      </c>
      <c r="X53" s="47" t="str">
        <f>IFx( Table4[[#This Row],[noCalc]], "", IFx(  Table4[[#This Row],[reHashRef]], re_group(X$4,, Table4[[#This Row],[begin]] &amp; Table4[[#This Row],[reHashRef]] &amp; Table4[[#This Row],[end]])))</f>
        <v>(((([\-])+)((?:[0-9])?))((([#@])(((?:\w|[\-])+)))))</v>
      </c>
      <c r="Y53" s="47" t="str">
        <f>re_group(Y$4,, Table4[[#This Row],[rePrelude]])</f>
        <v>((([\-])+)((?:[0-9])?))</v>
      </c>
      <c r="Z53" s="87" t="str">
        <f>IFx(Table4[[#This Row],[noCalc]], "", IFx(Table4[[#This Row],[reSpiritSymbolChars]], re_group(  Z$4,,  Table4[[#This Row],[reSpiritDesignator]] &amp; Table4[[#This Row],[reLevel]])))</f>
        <v>((([\-])+)((?:[0-9])?))</v>
      </c>
      <c r="AA53" s="87" t="str">
        <f>IFx( Table4[[#This Row],[noCalc]], "", IFx(Table4[[#This Row],[reSpiritSymbolChars]], re_group(  AA$4,,  Table4[[#This Row],[reSpiritSymbol]]  &amp; Table4[[#This Row],[reSpiritSymbolQ]] ) ))</f>
        <v>(([\-])+)</v>
      </c>
      <c r="AB53" s="87" t="s">
        <v>240</v>
      </c>
      <c r="AC53" s="87" t="str">
        <f>IFx( Table4[[#This Row],[noCalc]], "", IFx(Table4[[#This Row],[reSpiritSymbolChars]], re_group(  AC$4,, re_bracket(1,,  Table4[[#This Row],[reSpiritSymbolChars]]) )))</f>
        <v>([\-])</v>
      </c>
      <c r="AD53" s="101" t="s">
        <v>300</v>
      </c>
      <c r="AE53" s="87" t="str">
        <f>IF(Table4[[#This Row],[noCalc]], "",  IFx(Table4[[#This Row],[reLevelChars]],  re_group(  AE$4,,  re_group_no_capture( 1,, re_bracket(1,, Table4[[#This Row],[reLevelChars]])) &amp; "?")))</f>
        <v>((?:[0-9])?)</v>
      </c>
      <c r="AF53" s="87" t="s">
        <v>253</v>
      </c>
      <c r="AG53" s="87" t="s">
        <v>314</v>
      </c>
      <c r="AH53" s="47" t="str">
        <f>IFx(Table4[[#This Row],[noCalc]], "", IFx( Table4[[#This Row],[reRefType]], re_group( AH$4,,Table4[[#This Row],[reRefType]] &amp; Table4[[#This Row],[reLabel]])))</f>
        <v>((([#@])(((?:\w|[\-])+))))</v>
      </c>
      <c r="AI53" s="87" t="str">
        <f xml:space="preserve"> re_group( AI$4,,  Table4[[#This Row],[reHashSymbol]] &amp; Table4[[#This Row],[ReHashSymbolQ]] )</f>
        <v>([#@])</v>
      </c>
      <c r="AJ53" s="87" t="s">
        <v>138</v>
      </c>
      <c r="AK53" s="87" t="str">
        <f>re_group( AK$4,, re_bracket(1,, Table4[[#This Row],[reHashChars]]))</f>
        <v>[#@]</v>
      </c>
      <c r="AL53" s="90" t="str">
        <f>cs_tag_type</f>
        <v>#@</v>
      </c>
      <c r="AM53" s="87" t="str">
        <f>IFx(Table4[[#This Row],[noCalc]], "", re_group( AM$4,, re_tag_label_simple))</f>
        <v>(((?:\w|[\-])+))</v>
      </c>
      <c r="AN53" s="47" t="str">
        <f>IFx(Table4[[#This Row],[noCalc]], "", re_group( AN$4,, re_tag_tail))</f>
        <v/>
      </c>
      <c r="AO53" s="47" t="str">
        <f>re_tag_after_simple</f>
        <v>$</v>
      </c>
      <c r="AP53" s="6" t="s">
        <v>138</v>
      </c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2:66">
      <c r="B54" s="48" t="s">
        <v>74</v>
      </c>
      <c r="C54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notelet_fishy: {
    match: '^(((([*])+)((?:[0-9])?))((([#@])(((?:\\w|[\\-])+)))))$'
    captures: 
      1: name: 'meta.notelet.spirit-fishy.text.noted'
      7: name: 'markup.standout.spirit-fishy.spirit-marker-${3:/downcase}.spirit-symbol-${4:/downcase}.vigor-${5:/downcase}.text.noted'
    }
    </v>
      </c>
      <c r="D54" s="74" t="str">
        <f>IFx( Table4[[#This Row],[rule_name]], _xlfn.TEXTJOIN(" ",, "{", "include:", "'#" &amp; Table4[[#This Row],[rule_name]] &amp; "'", "}"))</f>
        <v>{ include: '#notelet_fishy' }</v>
      </c>
      <c r="E54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'^(((([*])+)((?:[0-9])?))((([#@])(((?:\\w|[\\-])+)))))$'
captures: 
  1: name: 'meta.notelet.spirit-fishy.text.noted'
  7: name: 'markup.standout.spirit-fishy.spirit-marker-${3:/downcase}.spirit-symbol-${4:/downcase}.vigor-${5:/downcase}.text.noted'</v>
      </c>
      <c r="F54" s="67" t="str">
        <f>IF(Table4[[#This Row],[spirit]]="", "", re_surround(1,, "'", "'", SUBSTITUTE(meta_subscope_mask, spirit_placeholder, Table4[[#This Row],[spirit]])))</f>
        <v>'meta.notelet.spirit-fishy.text.noted'</v>
      </c>
      <c r="G54" s="67" t="str">
        <f>IF(Table4[[#This Row],[spirit]]="", "", re_surround(1,, "'", "'", SUBSTITUTE(markup_subscope_mask, spirit_placeholder, Table4[[#This Row],[spirit]])))</f>
        <v>'markup.standout.spirit-fishy.spirit-marker-${3:/downcase}.spirit-symbol-${4:/downcase}.vigor-${5:/downcase}.text.noted'</v>
      </c>
      <c r="H54" s="69" t="str">
        <f>IF(Table4[[#This Row],[spirit]]="", "",  re_surround(1,, "'", "'",SUBSTITUTE(dynamic_subscope_mask, spirit_placeholder, Table4[[#This Row],[spirit]])))</f>
        <v/>
      </c>
      <c r="I54" s="97" t="str">
        <f>SUBSTITUTE(SUBSTITUTE(IF(Table4[[#This Row],[spirit]]="", "", Table4[[#This Row],[rule_name_pfx]] &amp; IF(Table4[[#This Row],[spirit]]="undef", "", Table4[[#This Row],[spirit]])), ".", "_"), "-", "_")</f>
        <v>notelet_fishy</v>
      </c>
      <c r="J54" s="74" t="str">
        <f>ename &amp; "_"</f>
        <v>notelet_</v>
      </c>
      <c r="K54" s="74">
        <v>30</v>
      </c>
      <c r="L54" s="96" t="s">
        <v>297</v>
      </c>
      <c r="M54" s="91" t="str">
        <f>"re_tag_" &amp; Table4[[#This Row],[spirit]]</f>
        <v>re_tag_fishy</v>
      </c>
      <c r="N54" s="47" t="str">
        <f>"" &amp; IF( Table4[[#This Row],[use]] ="", "",  IFERROR(INDEX(TCfg, 0, MATCH(Table4[[#This Row],[use]], Table4[#Headers], 0)), ""))</f>
        <v>'^(((([*])+)((?:[0-9])?))((([#@])(((?:\\w|[\\-])+)))))$'</v>
      </c>
      <c r="O54" s="47" t="s">
        <v>262</v>
      </c>
      <c r="P54" s="35"/>
      <c r="Q54" s="35"/>
      <c r="R54" s="47" t="b">
        <f>OR( Table4[[#This Row],[use]] = "", Table4[[#This Row],[use]] = "custom", Table4[[#This Row],[use]] = "alternate" )</f>
        <v>0</v>
      </c>
      <c r="S54" s="47" t="str">
        <f>re_surround(1,,"'", "'",  Table4[[#This Row],[re_escaped]])</f>
        <v>'^(((([*])+)((?:[0-9])?))((([#@])(((?:\\w|[\\-])+)))))$'</v>
      </c>
      <c r="T54" s="47" t="str">
        <f>SUBSTITUTE(Table4[[#This Row],[regex]], "\", "\\")</f>
        <v>^(((([*])+)((?:[0-9])?))((([#@])(((?:\\w|[\\-])+)))))$</v>
      </c>
      <c r="U54" s="86" t="str">
        <f>"|"</f>
        <v>|</v>
      </c>
      <c r="V54" s="47" t="str">
        <f>IFx(Table4[[#This Row],[noCalc]],"", IFx(Table4[[#This Row],[reSpan]], re_group( V$4, , Table4[[#This Row],[before]] &amp; Table4[[#This Row],[reSpan]] &amp; Table4[[#This Row],[after]])))</f>
        <v>^(((([*])+)((?:[0-9])?))((([#@])(((?:\w|[\-])+)))))$</v>
      </c>
      <c r="W54" s="87" t="str">
        <f>re_tag_before_simple</f>
        <v>^</v>
      </c>
      <c r="X54" s="47" t="str">
        <f>IFx( Table4[[#This Row],[noCalc]], "", IFx(  Table4[[#This Row],[reHashRef]], re_group(X$4,, Table4[[#This Row],[begin]] &amp; Table4[[#This Row],[reHashRef]] &amp; Table4[[#This Row],[end]])))</f>
        <v>(((([*])+)((?:[0-9])?))((([#@])(((?:\w|[\-])+)))))</v>
      </c>
      <c r="Y54" s="47" t="str">
        <f>re_group(Y$4,, Table4[[#This Row],[rePrelude]])</f>
        <v>((([*])+)((?:[0-9])?))</v>
      </c>
      <c r="Z54" s="87" t="str">
        <f>IFx(Table4[[#This Row],[noCalc]], "", IFx(Table4[[#This Row],[reSpiritSymbolChars]], re_group(  Z$4,,  Table4[[#This Row],[reSpiritDesignator]] &amp; Table4[[#This Row],[reLevel]])))</f>
        <v>((([*])+)((?:[0-9])?))</v>
      </c>
      <c r="AA54" s="87" t="str">
        <f>IFx( Table4[[#This Row],[noCalc]], "", IFx(Table4[[#This Row],[reSpiritSymbolChars]], re_group(  AA$4,,  Table4[[#This Row],[reSpiritSymbol]]  &amp; Table4[[#This Row],[reSpiritSymbolQ]] ) ))</f>
        <v>(([*])+)</v>
      </c>
      <c r="AB54" s="87" t="s">
        <v>240</v>
      </c>
      <c r="AC54" s="87" t="str">
        <f>IFx( Table4[[#This Row],[noCalc]], "", IFx(Table4[[#This Row],[reSpiritSymbolChars]], re_group(  AC$4,, re_bracket(1,,  Table4[[#This Row],[reSpiritSymbolChars]]) )))</f>
        <v>([*])</v>
      </c>
      <c r="AD54" s="100" t="s">
        <v>253</v>
      </c>
      <c r="AE54" s="87" t="str">
        <f>IF(Table4[[#This Row],[noCalc]], "",  IFx(Table4[[#This Row],[reLevelChars]],  re_group(  AE$4,,  re_group_no_capture( 1,, re_bracket(1,, Table4[[#This Row],[reLevelChars]])) &amp; "?")))</f>
        <v>((?:[0-9])?)</v>
      </c>
      <c r="AF54" s="87" t="s">
        <v>253</v>
      </c>
      <c r="AG54" s="87" t="s">
        <v>314</v>
      </c>
      <c r="AH54" s="47" t="str">
        <f>IFx(Table4[[#This Row],[noCalc]], "", IFx( Table4[[#This Row],[reRefType]], re_group( AH$4,,Table4[[#This Row],[reRefType]] &amp; Table4[[#This Row],[reLabel]])))</f>
        <v>((([#@])(((?:\w|[\-])+))))</v>
      </c>
      <c r="AI54" s="87" t="str">
        <f xml:space="preserve"> re_group( AI$4,,  Table4[[#This Row],[reHashSymbol]] &amp; Table4[[#This Row],[ReHashSymbolQ]] )</f>
        <v>([#@])</v>
      </c>
      <c r="AJ54" s="87" t="s">
        <v>138</v>
      </c>
      <c r="AK54" s="87" t="str">
        <f>re_group( AK$4,, re_bracket(1,, Table4[[#This Row],[reHashChars]]))</f>
        <v>[#@]</v>
      </c>
      <c r="AL54" s="90" t="str">
        <f>cs_tag_type</f>
        <v>#@</v>
      </c>
      <c r="AM54" s="87" t="str">
        <f>IFx(Table4[[#This Row],[noCalc]], "", re_group( AM$4,, re_tag_label_simple))</f>
        <v>(((?:\w|[\-])+))</v>
      </c>
      <c r="AN54" s="47" t="str">
        <f>IFx(Table4[[#This Row],[noCalc]], "", re_group( AN$4,, re_tag_tail))</f>
        <v/>
      </c>
      <c r="AO54" s="47" t="str">
        <f>re_tag_after_simple</f>
        <v>$</v>
      </c>
      <c r="AP54" s="6" t="s">
        <v>138</v>
      </c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2:66">
      <c r="B55" s="48" t="s">
        <v>74</v>
      </c>
      <c r="C55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notelet_alert: {
    match: '^(((([!])+)((?:[0-9])?))((([#@])(((?:\\w|[\\-])+)))))$'
    captures: 
      1: name: 'meta.notelet.spirit-alert.text.noted'
      7: name: 'markup.standout.spirit-alert.spirit-marker-${3:/downcase}.spirit-symbol-${4:/downcase}.vigor-${5:/downcase}.text.noted'
    }
    </v>
      </c>
      <c r="D55" s="74" t="str">
        <f>IFx( Table4[[#This Row],[rule_name]], _xlfn.TEXTJOIN(" ",, "{", "include:", "'#" &amp; Table4[[#This Row],[rule_name]] &amp; "'", "}"))</f>
        <v>{ include: '#notelet_alert' }</v>
      </c>
      <c r="E55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'^(((([!])+)((?:[0-9])?))((([#@])(((?:\\w|[\\-])+)))))$'
captures: 
  1: name: 'meta.notelet.spirit-alert.text.noted'
  7: name: 'markup.standout.spirit-alert.spirit-marker-${3:/downcase}.spirit-symbol-${4:/downcase}.vigor-${5:/downcase}.text.noted'</v>
      </c>
      <c r="F55" s="67" t="str">
        <f>IF(Table4[[#This Row],[spirit]]="", "", re_surround(1,, "'", "'", SUBSTITUTE(meta_subscope_mask, spirit_placeholder, Table4[[#This Row],[spirit]])))</f>
        <v>'meta.notelet.spirit-alert.text.noted'</v>
      </c>
      <c r="G55" s="67" t="str">
        <f>IF(Table4[[#This Row],[spirit]]="", "", re_surround(1,, "'", "'", SUBSTITUTE(markup_subscope_mask, spirit_placeholder, Table4[[#This Row],[spirit]])))</f>
        <v>'markup.standout.spirit-alert.spirit-marker-${3:/downcase}.spirit-symbol-${4:/downcase}.vigor-${5:/downcase}.text.noted'</v>
      </c>
      <c r="H55" s="69" t="str">
        <f>IF(Table4[[#This Row],[spirit]]="", "",  re_surround(1,, "'", "'",SUBSTITUTE(dynamic_subscope_mask, spirit_placeholder, Table4[[#This Row],[spirit]])))</f>
        <v/>
      </c>
      <c r="I55" s="97" t="str">
        <f>SUBSTITUTE(SUBSTITUTE(IF(Table4[[#This Row],[spirit]]="", "", Table4[[#This Row],[rule_name_pfx]] &amp; IF(Table4[[#This Row],[spirit]]="undef", "", Table4[[#This Row],[spirit]])), ".", "_"), "-", "_")</f>
        <v>notelet_alert</v>
      </c>
      <c r="J55" s="74" t="str">
        <f>ename &amp; "_"</f>
        <v>notelet_</v>
      </c>
      <c r="K55" s="74">
        <v>35</v>
      </c>
      <c r="L55" s="94" t="s">
        <v>56</v>
      </c>
      <c r="M55" s="91" t="str">
        <f>"re_tag_" &amp; Table4[[#This Row],[spirit]]</f>
        <v>re_tag_alert</v>
      </c>
      <c r="N55" s="47" t="str">
        <f>"" &amp; IF( Table4[[#This Row],[use]] ="", "",  IFERROR(INDEX(TCfg, 0, MATCH(Table4[[#This Row],[use]], Table4[#Headers], 0)), ""))</f>
        <v>'^(((([!])+)((?:[0-9])?))((([#@])(((?:\\w|[\\-])+)))))$'</v>
      </c>
      <c r="O55" s="47" t="s">
        <v>262</v>
      </c>
      <c r="P55" s="35"/>
      <c r="Q55" s="35"/>
      <c r="R55" s="47" t="b">
        <f>OR( Table4[[#This Row],[use]] = "", Table4[[#This Row],[use]] = "custom", Table4[[#This Row],[use]] = "alternate" )</f>
        <v>0</v>
      </c>
      <c r="S55" s="47" t="str">
        <f>re_surround(1,,"'", "'",  Table4[[#This Row],[re_escaped]])</f>
        <v>'^(((([!])+)((?:[0-9])?))((([#@])(((?:\\w|[\\-])+)))))$'</v>
      </c>
      <c r="T55" s="47" t="str">
        <f>SUBSTITUTE(Table4[[#This Row],[regex]], "\", "\\")</f>
        <v>^(((([!])+)((?:[0-9])?))((([#@])(((?:\\w|[\\-])+)))))$</v>
      </c>
      <c r="U55" s="86" t="str">
        <f>"|"</f>
        <v>|</v>
      </c>
      <c r="V55" s="47" t="str">
        <f>IFx(Table4[[#This Row],[noCalc]],"", IFx(Table4[[#This Row],[reSpan]], re_group( V$4, , Table4[[#This Row],[before]] &amp; Table4[[#This Row],[reSpan]] &amp; Table4[[#This Row],[after]])))</f>
        <v>^(((([!])+)((?:[0-9])?))((([#@])(((?:\w|[\-])+)))))$</v>
      </c>
      <c r="W55" s="87" t="str">
        <f>re_tag_before_simple</f>
        <v>^</v>
      </c>
      <c r="X55" s="47" t="str">
        <f>IFx( Table4[[#This Row],[noCalc]], "", IFx(  Table4[[#This Row],[reHashRef]], re_group(X$4,, Table4[[#This Row],[begin]] &amp; Table4[[#This Row],[reHashRef]] &amp; Table4[[#This Row],[end]])))</f>
        <v>(((([!])+)((?:[0-9])?))((([#@])(((?:\w|[\-])+)))))</v>
      </c>
      <c r="Y55" s="47" t="str">
        <f>re_group(Y$4,, Table4[[#This Row],[rePrelude]])</f>
        <v>((([!])+)((?:[0-9])?))</v>
      </c>
      <c r="Z55" s="87" t="str">
        <f>IFx(Table4[[#This Row],[noCalc]], "", IFx(Table4[[#This Row],[reSpiritSymbolChars]], re_group(  Z$4,,  Table4[[#This Row],[reSpiritDesignator]] &amp; Table4[[#This Row],[reLevel]])))</f>
        <v>((([!])+)((?:[0-9])?))</v>
      </c>
      <c r="AA55" s="87" t="str">
        <f>IFx( Table4[[#This Row],[noCalc]], "", IFx(Table4[[#This Row],[reSpiritSymbolChars]], re_group(  AA$4,,  Table4[[#This Row],[reSpiritSymbol]]  &amp; Table4[[#This Row],[reSpiritSymbolQ]] ) ))</f>
        <v>(([!])+)</v>
      </c>
      <c r="AB55" s="87" t="s">
        <v>240</v>
      </c>
      <c r="AC55" s="87" t="str">
        <f>IFx( Table4[[#This Row],[noCalc]], "", IFx(Table4[[#This Row],[reSpiritSymbolChars]], re_group(  AC$4,, re_bracket(1,,  Table4[[#This Row],[reSpiritSymbolChars]]) )))</f>
        <v>([!])</v>
      </c>
      <c r="AD55" s="35" t="s">
        <v>242</v>
      </c>
      <c r="AE55" s="87" t="str">
        <f>IF(Table4[[#This Row],[noCalc]], "",  IFx(Table4[[#This Row],[reLevelChars]],  re_group(  AE$4,,  re_group_no_capture( 1,, re_bracket(1,, Table4[[#This Row],[reLevelChars]])) &amp; "?")))</f>
        <v>((?:[0-9])?)</v>
      </c>
      <c r="AF55" s="87" t="s">
        <v>253</v>
      </c>
      <c r="AG55" s="87" t="s">
        <v>314</v>
      </c>
      <c r="AH55" s="47" t="str">
        <f>IFx(Table4[[#This Row],[noCalc]], "", IFx( Table4[[#This Row],[reRefType]], re_group( AH$4,,Table4[[#This Row],[reRefType]] &amp; Table4[[#This Row],[reLabel]])))</f>
        <v>((([#@])(((?:\w|[\-])+))))</v>
      </c>
      <c r="AI55" s="87" t="str">
        <f xml:space="preserve"> re_group( AI$4,,  Table4[[#This Row],[reHashSymbol]] &amp; Table4[[#This Row],[ReHashSymbolQ]] )</f>
        <v>([#@])</v>
      </c>
      <c r="AJ55" s="87" t="s">
        <v>138</v>
      </c>
      <c r="AK55" s="87" t="str">
        <f>re_group( AK$4,, re_bracket(1,, Table4[[#This Row],[reHashChars]]))</f>
        <v>[#@]</v>
      </c>
      <c r="AL55" s="90" t="str">
        <f>cs_tag_type</f>
        <v>#@</v>
      </c>
      <c r="AM55" s="87" t="str">
        <f>IFx(Table4[[#This Row],[noCalc]], "", re_group( AM$4,, re_tag_label_simple))</f>
        <v>(((?:\w|[\-])+))</v>
      </c>
      <c r="AN55" s="47" t="str">
        <f>IFx(Table4[[#This Row],[noCalc]], "", re_group( AN$4,, re_tag_tail))</f>
        <v/>
      </c>
      <c r="AO55" s="47" t="str">
        <f>re_tag_after_simple</f>
        <v>$</v>
      </c>
      <c r="AP55" s="6" t="s">
        <v>138</v>
      </c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2:66" s="34" customFormat="1">
      <c r="B56" s="48" t="s">
        <v>74</v>
      </c>
      <c r="C56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notelet_good: {
    match: '^(((([+])+)((?:[0-9])?))((([#@])(((?:\\w|[\\-])+)))))$'
    captures: 
      1: name: 'meta.notelet.spirit-good.text.noted'
      7: name: 'markup.standout.spirit-good.spirit-marker-${3:/downcase}.spirit-symbol-${4:/downcase}.vigor-${5:/downcase}.text.noted'
    }
    </v>
      </c>
      <c r="D56" s="74" t="str">
        <f>IFx( Table4[[#This Row],[rule_name]], _xlfn.TEXTJOIN(" ",, "{", "include:", "'#" &amp; Table4[[#This Row],[rule_name]] &amp; "'", "}"))</f>
        <v>{ include: '#notelet_good' }</v>
      </c>
      <c r="E56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'^(((([+])+)((?:[0-9])?))((([#@])(((?:\\w|[\\-])+)))))$'
captures: 
  1: name: 'meta.notelet.spirit-good.text.noted'
  7: name: 'markup.standout.spirit-good.spirit-marker-${3:/downcase}.spirit-symbol-${4:/downcase}.vigor-${5:/downcase}.text.noted'</v>
      </c>
      <c r="F56" s="67" t="str">
        <f>IF(Table4[[#This Row],[spirit]]="", "", re_surround(1,, "'", "'", SUBSTITUTE(meta_subscope_mask, spirit_placeholder, Table4[[#This Row],[spirit]])))</f>
        <v>'meta.notelet.spirit-good.text.noted'</v>
      </c>
      <c r="G56" s="67" t="str">
        <f>IF(Table4[[#This Row],[spirit]]="", "", re_surround(1,, "'", "'", SUBSTITUTE(markup_subscope_mask, spirit_placeholder, Table4[[#This Row],[spirit]])))</f>
        <v>'markup.standout.spirit-good.spirit-marker-${3:/downcase}.spirit-symbol-${4:/downcase}.vigor-${5:/downcase}.text.noted'</v>
      </c>
      <c r="H56" s="69" t="str">
        <f>IF(Table4[[#This Row],[spirit]]="", "",  re_surround(1,, "'", "'",SUBSTITUTE(dynamic_subscope_mask, spirit_placeholder, Table4[[#This Row],[spirit]])))</f>
        <v/>
      </c>
      <c r="I56" s="97" t="str">
        <f>SUBSTITUTE(SUBSTITUTE(IF(Table4[[#This Row],[spirit]]="", "", Table4[[#This Row],[rule_name_pfx]] &amp; IF(Table4[[#This Row],[spirit]]="undef", "", Table4[[#This Row],[spirit]])), ".", "_"), "-", "_")</f>
        <v>notelet_good</v>
      </c>
      <c r="J56" s="74" t="str">
        <f>ename &amp; "_"</f>
        <v>notelet_</v>
      </c>
      <c r="K56" s="74">
        <v>40</v>
      </c>
      <c r="L56" s="94" t="s">
        <v>234</v>
      </c>
      <c r="M56" s="91" t="str">
        <f>"re_tag_" &amp; Table4[[#This Row],[spirit]]</f>
        <v>re_tag_good</v>
      </c>
      <c r="N56" s="47" t="str">
        <f>"" &amp; IF( Table4[[#This Row],[use]] ="", "",  IFERROR(INDEX(TCfg, 0, MATCH(Table4[[#This Row],[use]], Table4[#Headers], 0)), ""))</f>
        <v>'^(((([+])+)((?:[0-9])?))((([#@])(((?:\\w|[\\-])+)))))$'</v>
      </c>
      <c r="O56" s="47" t="s">
        <v>262</v>
      </c>
      <c r="P56" s="35"/>
      <c r="Q56" s="35"/>
      <c r="R56" s="47" t="b">
        <f>OR( Table4[[#This Row],[use]] = "", Table4[[#This Row],[use]] = "custom", Table4[[#This Row],[use]] = "alternate" )</f>
        <v>0</v>
      </c>
      <c r="S56" s="47" t="str">
        <f>re_surround(1,,"'", "'",  Table4[[#This Row],[re_escaped]])</f>
        <v>'^(((([+])+)((?:[0-9])?))((([#@])(((?:\\w|[\\-])+)))))$'</v>
      </c>
      <c r="T56" s="47" t="str">
        <f>SUBSTITUTE(Table4[[#This Row],[regex]], "\", "\\")</f>
        <v>^(((([+])+)((?:[0-9])?))((([#@])(((?:\\w|[\\-])+)))))$</v>
      </c>
      <c r="U56" s="86" t="str">
        <f>"|"</f>
        <v>|</v>
      </c>
      <c r="V56" s="47" t="str">
        <f>IFx(Table4[[#This Row],[noCalc]],"", IFx(Table4[[#This Row],[reSpan]], re_group( V$4, , Table4[[#This Row],[before]] &amp; Table4[[#This Row],[reSpan]] &amp; Table4[[#This Row],[after]])))</f>
        <v>^(((([+])+)((?:[0-9])?))((([#@])(((?:\w|[\-])+)))))$</v>
      </c>
      <c r="W56" s="87" t="str">
        <f>re_tag_before_simple</f>
        <v>^</v>
      </c>
      <c r="X56" s="47" t="str">
        <f>IFx( Table4[[#This Row],[noCalc]], "", IFx(  Table4[[#This Row],[reHashRef]], re_group(X$4,, Table4[[#This Row],[begin]] &amp; Table4[[#This Row],[reHashRef]] &amp; Table4[[#This Row],[end]])))</f>
        <v>(((([+])+)((?:[0-9])?))((([#@])(((?:\w|[\-])+)))))</v>
      </c>
      <c r="Y56" s="47" t="str">
        <f>re_group(Y$4,, Table4[[#This Row],[rePrelude]])</f>
        <v>((([+])+)((?:[0-9])?))</v>
      </c>
      <c r="Z56" s="87" t="str">
        <f>IFx(Table4[[#This Row],[noCalc]], "", IFx(Table4[[#This Row],[reSpiritSymbolChars]], re_group(  Z$4,,  Table4[[#This Row],[reSpiritDesignator]] &amp; Table4[[#This Row],[reLevel]])))</f>
        <v>((([+])+)((?:[0-9])?))</v>
      </c>
      <c r="AA56" s="87" t="str">
        <f>IFx( Table4[[#This Row],[noCalc]], "", IFx(Table4[[#This Row],[reSpiritSymbolChars]], re_group(  AA$4,,  Table4[[#This Row],[reSpiritSymbol]]  &amp; Table4[[#This Row],[reSpiritSymbolQ]] ) ))</f>
        <v>(([+])+)</v>
      </c>
      <c r="AB56" s="87" t="s">
        <v>240</v>
      </c>
      <c r="AC56" s="87" t="str">
        <f>IFx( Table4[[#This Row],[noCalc]], "", IFx(Table4[[#This Row],[reSpiritSymbolChars]], re_group(  AC$4,, re_bracket(1,,  Table4[[#This Row],[reSpiritSymbolChars]]) )))</f>
        <v>([+])</v>
      </c>
      <c r="AD56" s="51" t="s">
        <v>240</v>
      </c>
      <c r="AE56" s="87" t="str">
        <f>IF(Table4[[#This Row],[noCalc]], "",  IFx(Table4[[#This Row],[reLevelChars]],  re_group(  AE$4,,  re_group_no_capture( 1,, re_bracket(1,, Table4[[#This Row],[reLevelChars]])) &amp; "?")))</f>
        <v>((?:[0-9])?)</v>
      </c>
      <c r="AF56" s="87" t="s">
        <v>253</v>
      </c>
      <c r="AG56" s="87" t="s">
        <v>314</v>
      </c>
      <c r="AH56" s="47" t="str">
        <f>IFx(Table4[[#This Row],[noCalc]], "", IFx( Table4[[#This Row],[reRefType]], re_group( AH$4,,Table4[[#This Row],[reRefType]] &amp; Table4[[#This Row],[reLabel]])))</f>
        <v>((([#@])(((?:\w|[\-])+))))</v>
      </c>
      <c r="AI56" s="87" t="str">
        <f xml:space="preserve"> re_group( AI$4,,  Table4[[#This Row],[reHashSymbol]] &amp; Table4[[#This Row],[ReHashSymbolQ]] )</f>
        <v>([#@])</v>
      </c>
      <c r="AJ56" s="87" t="s">
        <v>138</v>
      </c>
      <c r="AK56" s="87" t="str">
        <f>re_group( AK$4,, re_bracket(1,, Table4[[#This Row],[reHashChars]]))</f>
        <v>[#@]</v>
      </c>
      <c r="AL56" s="90" t="str">
        <f>cs_tag_type</f>
        <v>#@</v>
      </c>
      <c r="AM56" s="87" t="str">
        <f>IFx(Table4[[#This Row],[noCalc]], "", re_group( AM$4,, re_tag_label_simple))</f>
        <v>(((?:\w|[\-])+))</v>
      </c>
      <c r="AN56" s="47" t="str">
        <f>IFx(Table4[[#This Row],[noCalc]], "", re_group( AN$4,, re_tag_tail))</f>
        <v/>
      </c>
      <c r="AO56" s="47" t="str">
        <f>re_tag_after_simple</f>
        <v>$</v>
      </c>
      <c r="AP56" s="6" t="s">
        <v>138</v>
      </c>
    </row>
    <row r="57" spans="2:66">
      <c r="B57" s="34"/>
      <c r="C57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notelet_pertinent: {
    match: '^(((([&gt;])+)((?:[0-10])?))((([#@])(((?:\\w|[\\-])+)))))$'
    captures: 
      1: name: 'meta.notelet.spirit-pertinent.text.noted'
      7: name: 'markup.standout.spirit-pertinent.spirit-marker-${3:/downcase}.spirit-symbol-${4:/downcase}.vigor-${5:/downcase}.text.noted'
    }
    </v>
      </c>
      <c r="D57" s="77" t="str">
        <f>IFx( Table4[[#This Row],[rule_name]], _xlfn.TEXTJOIN(" ",, "{", "include:", "'#" &amp; Table4[[#This Row],[rule_name]] &amp; "'", "}"))</f>
        <v>{ include: '#notelet_pertinent' }</v>
      </c>
      <c r="E57" s="78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'^(((([&gt;])+)((?:[0-10])?))((([#@])(((?:\\w|[\\-])+)))))$'
captures: 
  1: name: 'meta.notelet.spirit-pertinent.text.noted'
  7: name: 'markup.standout.spirit-pertinent.spirit-marker-${3:/downcase}.spirit-symbol-${4:/downcase}.vigor-${5:/downcase}.text.noted'</v>
      </c>
      <c r="F57" s="78" t="str">
        <f>IF(Table4[[#This Row],[spirit]]="", "", re_surround(1,, "'", "'", SUBSTITUTE(meta_subscope_mask, spirit_placeholder, Table4[[#This Row],[spirit]])))</f>
        <v>'meta.notelet.spirit-pertinent.text.noted'</v>
      </c>
      <c r="G57" s="67" t="str">
        <f>IF(Table4[[#This Row],[spirit]]="", "", re_surround(1,, "'", "'", SUBSTITUTE(markup_subscope_mask, spirit_placeholder, Table4[[#This Row],[spirit]])))</f>
        <v>'markup.standout.spirit-pertinent.spirit-marker-${3:/downcase}.spirit-symbol-${4:/downcase}.vigor-${5:/downcase}.text.noted'</v>
      </c>
      <c r="H57" s="79" t="str">
        <f>IF(Table4[[#This Row],[spirit]]="", "",  re_surround(1,, "'", "'",SUBSTITUTE(dynamic_subscope_mask, spirit_placeholder, Table4[[#This Row],[spirit]])))</f>
        <v/>
      </c>
      <c r="I57" s="99" t="str">
        <f>SUBSTITUTE(SUBSTITUTE(IF(Table4[[#This Row],[spirit]]="", "", Table4[[#This Row],[rule_name_pfx]] &amp; IF(Table4[[#This Row],[spirit]]="undef", "", Table4[[#This Row],[spirit]])), ".", "_"), "-", "_")</f>
        <v>notelet_pertinent</v>
      </c>
      <c r="J57" s="74" t="str">
        <f>ename &amp; "_"</f>
        <v>notelet_</v>
      </c>
      <c r="K57" s="74">
        <v>50</v>
      </c>
      <c r="L57" s="94" t="s">
        <v>345</v>
      </c>
      <c r="M57" s="91" t="str">
        <f>"re_tag_" &amp; Table4[[#This Row],[spirit]]</f>
        <v>re_tag_pertinent</v>
      </c>
      <c r="N57" s="47" t="str">
        <f>"" &amp; IF( Table4[[#This Row],[use]] ="", "",  IFERROR(INDEX(TCfg, 0, MATCH(Table4[[#This Row],[use]], Table4[#Headers], 0)), ""))</f>
        <v>'^(((([&gt;])+)((?:[0-10])?))((([#@])(((?:\\w|[\\-])+)))))$'</v>
      </c>
      <c r="O57" s="47" t="s">
        <v>262</v>
      </c>
      <c r="P57" s="35"/>
      <c r="Q57" s="35"/>
      <c r="R57" s="80" t="b">
        <f>OR( Table4[[#This Row],[use]] = "", Table4[[#This Row],[use]] = "custom", Table4[[#This Row],[use]] = "alternate" )</f>
        <v>0</v>
      </c>
      <c r="S57" s="80" t="str">
        <f>re_surround(1,,"'", "'",  Table4[[#This Row],[re_escaped]])</f>
        <v>'^(((([&gt;])+)((?:[0-10])?))((([#@])(((?:\\w|[\\-])+)))))$'</v>
      </c>
      <c r="T57" s="80" t="str">
        <f>SUBSTITUTE(Table4[[#This Row],[regex]], "\", "\\")</f>
        <v>^(((([&gt;])+)((?:[0-10])?))((([#@])(((?:\\w|[\\-])+)))))$</v>
      </c>
      <c r="U57" s="81" t="str">
        <f>"|"</f>
        <v>|</v>
      </c>
      <c r="V57" s="80" t="str">
        <f>IFx(Table4[[#This Row],[noCalc]],"", IFx(Table4[[#This Row],[reSpan]], re_group( V$4, , Table4[[#This Row],[before]] &amp; Table4[[#This Row],[reSpan]] &amp; Table4[[#This Row],[after]])))</f>
        <v>^(((([&gt;])+)((?:[0-10])?))((([#@])(((?:\w|[\-])+)))))$</v>
      </c>
      <c r="W57" s="87" t="str">
        <f>re_tag_before_simple</f>
        <v>^</v>
      </c>
      <c r="X57" s="47" t="str">
        <f>IFx( Table4[[#This Row],[noCalc]], "", IFx(  Table4[[#This Row],[reHashRef]], re_group(X$4,, Table4[[#This Row],[begin]] &amp; Table4[[#This Row],[reHashRef]] &amp; Table4[[#This Row],[end]])))</f>
        <v>(((([&gt;])+)((?:[0-10])?))((([#@])(((?:\w|[\-])+)))))</v>
      </c>
      <c r="Y57" s="80" t="str">
        <f>re_group(Y$4,, Table4[[#This Row],[rePrelude]])</f>
        <v>((([&gt;])+)((?:[0-10])?))</v>
      </c>
      <c r="Z57" s="80" t="str">
        <f>IFx(Table4[[#This Row],[noCalc]], "", IFx(Table4[[#This Row],[reSpiritSymbolChars]], re_group(  Z$4,,  Table4[[#This Row],[reSpiritDesignator]] &amp; Table4[[#This Row],[reLevel]])))</f>
        <v>((([&gt;])+)((?:[0-10])?))</v>
      </c>
      <c r="AA57" s="80" t="str">
        <f>IFx( Table4[[#This Row],[noCalc]], "", IFx(Table4[[#This Row],[reSpiritSymbolChars]], re_group(  AA$4,,  Table4[[#This Row],[reSpiritSymbol]]  &amp; Table4[[#This Row],[reSpiritSymbolQ]] ) ))</f>
        <v>(([&gt;])+)</v>
      </c>
      <c r="AB57" s="47" t="s">
        <v>240</v>
      </c>
      <c r="AC57" s="47" t="str">
        <f>IFx( Table4[[#This Row],[noCalc]], "", IFx(Table4[[#This Row],[reSpiritSymbolChars]], re_group(  AC$4,, re_bracket(1,,  Table4[[#This Row],[reSpiritSymbolChars]]) )))</f>
        <v>([&gt;])</v>
      </c>
      <c r="AD57" s="51" t="s">
        <v>344</v>
      </c>
      <c r="AE57" s="87" t="str">
        <f>IF(Table4[[#This Row],[noCalc]], "",  IFx(Table4[[#This Row],[reLevelChars]],  re_group(  AE$4,,  re_group_no_capture( 1,, re_bracket(1,, Table4[[#This Row],[reLevelChars]])) &amp; "?")))</f>
        <v>((?:[0-10])?)</v>
      </c>
      <c r="AF57" s="87" t="s">
        <v>253</v>
      </c>
      <c r="AG57" s="87" t="s">
        <v>323</v>
      </c>
      <c r="AH57" s="47" t="str">
        <f>IFx(Table4[[#This Row],[noCalc]], "", IFx( Table4[[#This Row],[reRefType]], re_group( AH$4,,Table4[[#This Row],[reRefType]] &amp; Table4[[#This Row],[reLabel]])))</f>
        <v>((([#@])(((?:\w|[\-])+))))</v>
      </c>
      <c r="AI57" s="80" t="str">
        <f xml:space="preserve"> re_group( AI$4,,  Table4[[#This Row],[reHashSymbol]] &amp; Table4[[#This Row],[ReHashSymbolQ]] )</f>
        <v>([#@])</v>
      </c>
      <c r="AJ57" s="83"/>
      <c r="AK57" s="80" t="str">
        <f>re_group( AK$4,, re_bracket(1,, Table4[[#This Row],[reHashChars]]))</f>
        <v>[#@]</v>
      </c>
      <c r="AL57" s="90" t="str">
        <f>cs_tag_type</f>
        <v>#@</v>
      </c>
      <c r="AM57" s="87" t="str">
        <f>IFx(Table4[[#This Row],[noCalc]], "", re_group( AM$4,, re_tag_label_simple))</f>
        <v>(((?:\w|[\-])+))</v>
      </c>
      <c r="AN57" s="80" t="str">
        <f>IFx(Table4[[#This Row],[noCalc]], "", re_group( AN$4,, re_tag_tail))</f>
        <v/>
      </c>
      <c r="AO57" s="47" t="str">
        <f>re_tag_after_simple</f>
        <v>$</v>
      </c>
      <c r="AP57" s="6" t="s">
        <v>138</v>
      </c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2:66" ht="19" customHeight="1">
      <c r="B58" s="48" t="s">
        <v>74</v>
      </c>
      <c r="C58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notelet_curious: {
    match: '^(((([?])+)((?:[0-9])?))((([#@])(((?:\\w|[\\-])+)))))$'
    captures: 
      1: name: 'meta.notelet.spirit-curious.text.noted'
      7: name: 'markup.standout.spirit-curious.spirit-marker-${3:/downcase}.spirit-symbol-${4:/downcase}.vigor-${5:/downcase}.text.noted'
    }
    </v>
      </c>
      <c r="D58" s="74" t="str">
        <f>IFx( Table4[[#This Row],[rule_name]], _xlfn.TEXTJOIN(" ",, "{", "include:", "'#" &amp; Table4[[#This Row],[rule_name]] &amp; "'", "}"))</f>
        <v>{ include: '#notelet_curious' }</v>
      </c>
      <c r="E58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'^(((([?])+)((?:[0-9])?))((([#@])(((?:\\w|[\\-])+)))))$'
captures: 
  1: name: 'meta.notelet.spirit-curious.text.noted'
  7: name: 'markup.standout.spirit-curious.spirit-marker-${3:/downcase}.spirit-symbol-${4:/downcase}.vigor-${5:/downcase}.text.noted'</v>
      </c>
      <c r="F58" s="67" t="str">
        <f>IF(Table4[[#This Row],[spirit]]="", "", re_surround(1,, "'", "'", SUBSTITUTE(meta_subscope_mask, spirit_placeholder, Table4[[#This Row],[spirit]])))</f>
        <v>'meta.notelet.spirit-curious.text.noted'</v>
      </c>
      <c r="G58" s="67" t="str">
        <f>IF(Table4[[#This Row],[spirit]]="", "", re_surround(1,, "'", "'", SUBSTITUTE(markup_subscope_mask, spirit_placeholder, Table4[[#This Row],[spirit]])))</f>
        <v>'markup.standout.spirit-curious.spirit-marker-${3:/downcase}.spirit-symbol-${4:/downcase}.vigor-${5:/downcase}.text.noted'</v>
      </c>
      <c r="H58" s="69" t="str">
        <f>IF(Table4[[#This Row],[spirit]]="", "",  re_surround(1,, "'", "'",SUBSTITUTE(dynamic_subscope_mask, spirit_placeholder, Table4[[#This Row],[spirit]])))</f>
        <v/>
      </c>
      <c r="I58" s="97" t="str">
        <f>SUBSTITUTE(SUBSTITUTE(IF(Table4[[#This Row],[spirit]]="", "", Table4[[#This Row],[rule_name_pfx]] &amp; IF(Table4[[#This Row],[spirit]]="undef", "", Table4[[#This Row],[spirit]])), ".", "_"), "-", "_")</f>
        <v>notelet_curious</v>
      </c>
      <c r="J58" s="74" t="str">
        <f>ename &amp; "_"</f>
        <v>notelet_</v>
      </c>
      <c r="K58" s="74">
        <v>60</v>
      </c>
      <c r="L58" s="94" t="s">
        <v>301</v>
      </c>
      <c r="M58" s="91" t="str">
        <f>"re_tag_" &amp; Table4[[#This Row],[spirit]]</f>
        <v>re_tag_curious</v>
      </c>
      <c r="N58" s="47" t="str">
        <f>"" &amp; IF( Table4[[#This Row],[use]] ="", "",  IFERROR(INDEX(TCfg, 0, MATCH(Table4[[#This Row],[use]], Table4[#Headers], 0)), ""))</f>
        <v>'^(((([?])+)((?:[0-9])?))((([#@])(((?:\\w|[\\-])+)))))$'</v>
      </c>
      <c r="O58" s="47" t="s">
        <v>262</v>
      </c>
      <c r="P58" s="35"/>
      <c r="Q58" s="35"/>
      <c r="R58" s="47" t="b">
        <f>OR( Table4[[#This Row],[use]] = "", Table4[[#This Row],[use]] = "custom", Table4[[#This Row],[use]] = "alternate" )</f>
        <v>0</v>
      </c>
      <c r="S58" s="47" t="str">
        <f>re_surround(1,,"'", "'",  Table4[[#This Row],[re_escaped]])</f>
        <v>'^(((([?])+)((?:[0-9])?))((([#@])(((?:\\w|[\\-])+)))))$'</v>
      </c>
      <c r="T58" s="47" t="str">
        <f>SUBSTITUTE(Table4[[#This Row],[regex]], "\", "\\")</f>
        <v>^(((([?])+)((?:[0-9])?))((([#@])(((?:\\w|[\\-])+)))))$</v>
      </c>
      <c r="U58" s="86" t="str">
        <f>"|"</f>
        <v>|</v>
      </c>
      <c r="V58" s="47" t="str">
        <f>IFx(Table4[[#This Row],[noCalc]],"", IFx(Table4[[#This Row],[reSpan]], re_group( V$4, , Table4[[#This Row],[before]] &amp; Table4[[#This Row],[reSpan]] &amp; Table4[[#This Row],[after]])))</f>
        <v>^(((([?])+)((?:[0-9])?))((([#@])(((?:\w|[\-])+)))))$</v>
      </c>
      <c r="W58" s="87" t="str">
        <f>re_tag_before_simple</f>
        <v>^</v>
      </c>
      <c r="X58" s="47" t="str">
        <f>IFx( Table4[[#This Row],[noCalc]], "", IFx(  Table4[[#This Row],[reHashRef]], re_group(X$4,, Table4[[#This Row],[begin]] &amp; Table4[[#This Row],[reHashRef]] &amp; Table4[[#This Row],[end]])))</f>
        <v>(((([?])+)((?:[0-9])?))((([#@])(((?:\w|[\-])+)))))</v>
      </c>
      <c r="Y58" s="47" t="str">
        <f>re_group(Y$4,, Table4[[#This Row],[rePrelude]])</f>
        <v>((([?])+)((?:[0-9])?))</v>
      </c>
      <c r="Z58" s="87" t="str">
        <f>IFx(Table4[[#This Row],[noCalc]], "", IFx(Table4[[#This Row],[reSpiritSymbolChars]], re_group(  Z$4,,  Table4[[#This Row],[reSpiritDesignator]] &amp; Table4[[#This Row],[reLevel]])))</f>
        <v>((([?])+)((?:[0-9])?))</v>
      </c>
      <c r="AA58" s="87" t="str">
        <f>IFx( Table4[[#This Row],[noCalc]], "", IFx(Table4[[#This Row],[reSpiritSymbolChars]], re_group(  AA$4,,  Table4[[#This Row],[reSpiritSymbol]]  &amp; Table4[[#This Row],[reSpiritSymbolQ]] ) ))</f>
        <v>(([?])+)</v>
      </c>
      <c r="AB58" s="87" t="s">
        <v>240</v>
      </c>
      <c r="AC58" s="87" t="str">
        <f>IFx( Table4[[#This Row],[noCalc]], "", IFx(Table4[[#This Row],[reSpiritSymbolChars]], re_group(  AC$4,, re_bracket(1,,  Table4[[#This Row],[reSpiritSymbolChars]]) )))</f>
        <v>([?])</v>
      </c>
      <c r="AD58" s="35" t="s">
        <v>244</v>
      </c>
      <c r="AE58" s="87" t="str">
        <f>IF(Table4[[#This Row],[noCalc]], "",  IFx(Table4[[#This Row],[reLevelChars]],  re_group(  AE$4,,  re_group_no_capture( 1,, re_bracket(1,, Table4[[#This Row],[reLevelChars]])) &amp; "?")))</f>
        <v>((?:[0-9])?)</v>
      </c>
      <c r="AF58" s="87" t="s">
        <v>253</v>
      </c>
      <c r="AG58" s="87" t="s">
        <v>314</v>
      </c>
      <c r="AH58" s="47" t="str">
        <f>IFx(Table4[[#This Row],[noCalc]], "", IFx( Table4[[#This Row],[reRefType]], re_group( AH$4,,Table4[[#This Row],[reRefType]] &amp; Table4[[#This Row],[reLabel]])))</f>
        <v>((([#@])(((?:\w|[\-])+))))</v>
      </c>
      <c r="AI58" s="87" t="str">
        <f xml:space="preserve"> re_group( AI$4,,  Table4[[#This Row],[reHashSymbol]] &amp; Table4[[#This Row],[ReHashSymbolQ]] )</f>
        <v>([#@])</v>
      </c>
      <c r="AJ58" s="87" t="s">
        <v>138</v>
      </c>
      <c r="AK58" s="87" t="str">
        <f>re_group( AK$4,, re_bracket(1,, Table4[[#This Row],[reHashChars]]))</f>
        <v>[#@]</v>
      </c>
      <c r="AL58" s="90" t="str">
        <f>cs_tag_type</f>
        <v>#@</v>
      </c>
      <c r="AM58" s="87" t="str">
        <f>IFx(Table4[[#This Row],[noCalc]], "", re_group( AM$4,, re_tag_label_simple))</f>
        <v>(((?:\w|[\-])+))</v>
      </c>
      <c r="AN58" s="47" t="str">
        <f>IFx(Table4[[#This Row],[noCalc]], "", re_group( AN$4,, re_tag_tail))</f>
        <v/>
      </c>
      <c r="AO58" s="47" t="str">
        <f>re_tag_after_simple</f>
        <v>$</v>
      </c>
      <c r="AP58" s="6" t="s">
        <v>138</v>
      </c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2:66">
      <c r="B59" s="34"/>
      <c r="C59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notelet_eager: {
    match: '^(((([:])+)((?:[0-9])?))((([#@])(((?:\\w|[\\-])+)))))$'
    captures: 
      1: name: 'meta.notelet.spirit-eager.text.noted'
      7: name: 'markup.standout.spirit-eager.spirit-marker-${3:/downcase}.spirit-symbol-${4:/downcase}.vigor-${5:/downcase}.text.noted'
    }
    </v>
      </c>
      <c r="D59" s="77" t="str">
        <f>IFx( Table4[[#This Row],[rule_name]], _xlfn.TEXTJOIN(" ",, "{", "include:", "'#" &amp; Table4[[#This Row],[rule_name]] &amp; "'", "}"))</f>
        <v>{ include: '#notelet_eager' }</v>
      </c>
      <c r="E59" s="78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'^(((([:])+)((?:[0-9])?))((([#@])(((?:\\w|[\\-])+)))))$'
captures: 
  1: name: 'meta.notelet.spirit-eager.text.noted'
  7: name: 'markup.standout.spirit-eager.spirit-marker-${3:/downcase}.spirit-symbol-${4:/downcase}.vigor-${5:/downcase}.text.noted'</v>
      </c>
      <c r="F59" s="78" t="str">
        <f>IF(Table4[[#This Row],[spirit]]="", "", re_surround(1,, "'", "'", SUBSTITUTE(meta_subscope_mask, spirit_placeholder, Table4[[#This Row],[spirit]])))</f>
        <v>'meta.notelet.spirit-eager.text.noted'</v>
      </c>
      <c r="G59" s="67" t="str">
        <f>IF(Table4[[#This Row],[spirit]]="", "", re_surround(1,, "'", "'", SUBSTITUTE(markup_subscope_mask, spirit_placeholder, Table4[[#This Row],[spirit]])))</f>
        <v>'markup.standout.spirit-eager.spirit-marker-${3:/downcase}.spirit-symbol-${4:/downcase}.vigor-${5:/downcase}.text.noted'</v>
      </c>
      <c r="H59" s="79" t="str">
        <f>IF(Table4[[#This Row],[spirit]]="", "",  re_surround(1,, "'", "'",SUBSTITUTE(dynamic_subscope_mask, spirit_placeholder, Table4[[#This Row],[spirit]])))</f>
        <v/>
      </c>
      <c r="I59" s="99" t="str">
        <f>SUBSTITUTE(SUBSTITUTE(IF(Table4[[#This Row],[spirit]]="", "", Table4[[#This Row],[rule_name_pfx]] &amp; IF(Table4[[#This Row],[spirit]]="undef", "", Table4[[#This Row],[spirit]])), ".", "_"), "-", "_")</f>
        <v>notelet_eager</v>
      </c>
      <c r="J59" s="74" t="str">
        <f>ename &amp; "_"</f>
        <v>notelet_</v>
      </c>
      <c r="K59" s="74">
        <v>65</v>
      </c>
      <c r="L59" s="94" t="s">
        <v>302</v>
      </c>
      <c r="M59" s="91" t="str">
        <f>"re_tag_" &amp; Table4[[#This Row],[spirit]]</f>
        <v>re_tag_eager</v>
      </c>
      <c r="N59" s="47" t="str">
        <f>"" &amp; IF( Table4[[#This Row],[use]] ="", "",  IFERROR(INDEX(TCfg, 0, MATCH(Table4[[#This Row],[use]], Table4[#Headers], 0)), ""))</f>
        <v>'^(((([:])+)((?:[0-9])?))((([#@])(((?:\\w|[\\-])+)))))$'</v>
      </c>
      <c r="O59" s="47" t="s">
        <v>262</v>
      </c>
      <c r="P59" s="35"/>
      <c r="Q59" s="35"/>
      <c r="R59" s="80" t="b">
        <f>OR( Table4[[#This Row],[use]] = "", Table4[[#This Row],[use]] = "custom", Table4[[#This Row],[use]] = "alternate" )</f>
        <v>0</v>
      </c>
      <c r="S59" s="80" t="str">
        <f>re_surround(1,,"'", "'",  Table4[[#This Row],[re_escaped]])</f>
        <v>'^(((([:])+)((?:[0-9])?))((([#@])(((?:\\w|[\\-])+)))))$'</v>
      </c>
      <c r="T59" s="80" t="str">
        <f>SUBSTITUTE(Table4[[#This Row],[regex]], "\", "\\")</f>
        <v>^(((([:])+)((?:[0-9])?))((([#@])(((?:\\w|[\\-])+)))))$</v>
      </c>
      <c r="U59" s="81" t="str">
        <f>"|"</f>
        <v>|</v>
      </c>
      <c r="V59" s="80" t="str">
        <f>IFx(Table4[[#This Row],[noCalc]],"", IFx(Table4[[#This Row],[reSpan]], re_group( V$4, , Table4[[#This Row],[before]] &amp; Table4[[#This Row],[reSpan]] &amp; Table4[[#This Row],[after]])))</f>
        <v>^(((([:])+)((?:[0-9])?))((([#@])(((?:\w|[\-])+)))))$</v>
      </c>
      <c r="W59" s="87" t="str">
        <f>re_tag_before_simple</f>
        <v>^</v>
      </c>
      <c r="X59" s="47" t="str">
        <f>IFx( Table4[[#This Row],[noCalc]], "", IFx(  Table4[[#This Row],[reHashRef]], re_group(X$4,, Table4[[#This Row],[begin]] &amp; Table4[[#This Row],[reHashRef]] &amp; Table4[[#This Row],[end]])))</f>
        <v>(((([:])+)((?:[0-9])?))((([#@])(((?:\w|[\-])+)))))</v>
      </c>
      <c r="Y59" s="47" t="str">
        <f>re_group(Y$4,, Table4[[#This Row],[rePrelude]])</f>
        <v>((([:])+)((?:[0-9])?))</v>
      </c>
      <c r="Z59" s="80" t="str">
        <f>IFx(Table4[[#This Row],[noCalc]], "", IFx(Table4[[#This Row],[reSpiritSymbolChars]], re_group(  Z$4,,  Table4[[#This Row],[reSpiritDesignator]] &amp; Table4[[#This Row],[reLevel]])))</f>
        <v>((([:])+)((?:[0-9])?))</v>
      </c>
      <c r="AA59" s="80" t="str">
        <f>IFx( Table4[[#This Row],[noCalc]], "", IFx(Table4[[#This Row],[reSpiritSymbolChars]], re_group(  AA$4,,  Table4[[#This Row],[reSpiritSymbol]]  &amp; Table4[[#This Row],[reSpiritSymbolQ]] ) ))</f>
        <v>(([:])+)</v>
      </c>
      <c r="AB59" s="87" t="s">
        <v>240</v>
      </c>
      <c r="AC59" s="87" t="str">
        <f>IFx( Table4[[#This Row],[noCalc]], "", IFx(Table4[[#This Row],[reSpiritSymbolChars]], re_group(  AC$4,, re_bracket(1,,  Table4[[#This Row],[reSpiritSymbolChars]]) )))</f>
        <v>([:])</v>
      </c>
      <c r="AD59" s="35" t="s">
        <v>299</v>
      </c>
      <c r="AE59" s="87" t="str">
        <f>IF(Table4[[#This Row],[noCalc]], "",  IFx(Table4[[#This Row],[reLevelChars]],  re_group(  AE$4,,  re_group_no_capture( 1,, re_bracket(1,, Table4[[#This Row],[reLevelChars]])) &amp; "?")))</f>
        <v>((?:[0-9])?)</v>
      </c>
      <c r="AF59" s="87" t="s">
        <v>253</v>
      </c>
      <c r="AG59" s="87" t="s">
        <v>314</v>
      </c>
      <c r="AH59" s="47" t="str">
        <f>IFx(Table4[[#This Row],[noCalc]], "", IFx( Table4[[#This Row],[reRefType]], re_group( AH$4,,Table4[[#This Row],[reRefType]] &amp; Table4[[#This Row],[reLabel]])))</f>
        <v>((([#@])(((?:\w|[\-])+))))</v>
      </c>
      <c r="AI59" s="80" t="str">
        <f xml:space="preserve"> re_group( AI$4,,  Table4[[#This Row],[reHashSymbol]] &amp; Table4[[#This Row],[ReHashSymbolQ]] )</f>
        <v>([#@])</v>
      </c>
      <c r="AJ59" s="83"/>
      <c r="AK59" s="80" t="str">
        <f>re_group( AK$4,, re_bracket(1,, Table4[[#This Row],[reHashChars]]))</f>
        <v>[#@]</v>
      </c>
      <c r="AL59" s="90" t="str">
        <f>cs_tag_type</f>
        <v>#@</v>
      </c>
      <c r="AM59" s="87" t="str">
        <f>IFx(Table4[[#This Row],[noCalc]], "", re_group( AM$4,, re_tag_label_simple))</f>
        <v>(((?:\w|[\-])+))</v>
      </c>
      <c r="AN59" s="80" t="str">
        <f>IFx(Table4[[#This Row],[noCalc]], "", re_group( AN$4,, re_tag_tail))</f>
        <v/>
      </c>
      <c r="AO59" s="47" t="str">
        <f>re_tag_after_simple</f>
        <v>$</v>
      </c>
      <c r="AP59" s="6" t="s">
        <v>138</v>
      </c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2:66">
      <c r="B60" s="34"/>
      <c r="C60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notelet_bland: {
    match: '^(((([\\,])+)((?:[0-9])?))((([#@])(((?:\\w|[\\-])+)))))$'
    captures: 
      1: name: 'meta.notelet.spirit-bland.text.noted'
      7: name: 'markup.standout.spirit-bland.spirit-marker-${3:/downcase}.spirit-symbol-${4:/downcase}.vigor-${5:/downcase}.text.noted'
    }
    </v>
      </c>
      <c r="D60" s="74" t="str">
        <f>IFx( Table4[[#This Row],[rule_name]], _xlfn.TEXTJOIN(" ",, "{", "include:", "'#" &amp; Table4[[#This Row],[rule_name]] &amp; "'", "}"))</f>
        <v>{ include: '#notelet_bland' }</v>
      </c>
      <c r="E60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'^(((([\\,])+)((?:[0-9])?))((([#@])(((?:\\w|[\\-])+)))))$'
captures: 
  1: name: 'meta.notelet.spirit-bland.text.noted'
  7: name: 'markup.standout.spirit-bland.spirit-marker-${3:/downcase}.spirit-symbol-${4:/downcase}.vigor-${5:/downcase}.text.noted'</v>
      </c>
      <c r="F60" s="67" t="str">
        <f>IF(Table4[[#This Row],[spirit]]="", "", re_surround(1,, "'", "'", SUBSTITUTE(meta_subscope_mask, spirit_placeholder, Table4[[#This Row],[spirit]])))</f>
        <v>'meta.notelet.spirit-bland.text.noted'</v>
      </c>
      <c r="G60" s="67" t="str">
        <f>IF(Table4[[#This Row],[spirit]]="", "", re_surround(1,, "'", "'", SUBSTITUTE(markup_subscope_mask, spirit_placeholder, Table4[[#This Row],[spirit]])))</f>
        <v>'markup.standout.spirit-bland.spirit-marker-${3:/downcase}.spirit-symbol-${4:/downcase}.vigor-${5:/downcase}.text.noted'</v>
      </c>
      <c r="H60" s="69" t="str">
        <f>IF(Table4[[#This Row],[spirit]]="", "",  re_surround(1,, "'", "'",SUBSTITUTE(dynamic_subscope_mask, spirit_placeholder, Table4[[#This Row],[spirit]])))</f>
        <v/>
      </c>
      <c r="I60" s="97" t="str">
        <f>SUBSTITUTE(SUBSTITUTE(IF(Table4[[#This Row],[spirit]]="", "", Table4[[#This Row],[rule_name_pfx]] &amp; IF(Table4[[#This Row],[spirit]]="undef", "", Table4[[#This Row],[spirit]])), ".", "_"), "-", "_")</f>
        <v>notelet_bland</v>
      </c>
      <c r="J60" s="74" t="str">
        <f>ename &amp; "_"</f>
        <v>notelet_</v>
      </c>
      <c r="K60" s="74">
        <v>70</v>
      </c>
      <c r="L60" s="94" t="s">
        <v>304</v>
      </c>
      <c r="M60" s="91" t="str">
        <f>"re_tag_" &amp; Table4[[#This Row],[spirit]]</f>
        <v>re_tag_bland</v>
      </c>
      <c r="N60" s="47" t="str">
        <f>"" &amp; IF( Table4[[#This Row],[use]] ="", "",  IFERROR(INDEX(TCfg, 0, MATCH(Table4[[#This Row],[use]], Table4[#Headers], 0)), ""))</f>
        <v>'^(((([\\,])+)((?:[0-9])?))((([#@])(((?:\\w|[\\-])+)))))$'</v>
      </c>
      <c r="O60" s="47" t="s">
        <v>262</v>
      </c>
      <c r="P60" s="35"/>
      <c r="Q60" s="35"/>
      <c r="R60" s="47" t="b">
        <f>OR( Table4[[#This Row],[use]] = "", Table4[[#This Row],[use]] = "custom", Table4[[#This Row],[use]] = "alternate" )</f>
        <v>0</v>
      </c>
      <c r="S60" s="47" t="str">
        <f>re_surround(1,,"'", "'",  Table4[[#This Row],[re_escaped]])</f>
        <v>'^(((([\\,])+)((?:[0-9])?))((([#@])(((?:\\w|[\\-])+)))))$'</v>
      </c>
      <c r="T60" s="47" t="str">
        <f>SUBSTITUTE(Table4[[#This Row],[regex]], "\", "\\")</f>
        <v>^(((([\\,])+)((?:[0-9])?))((([#@])(((?:\\w|[\\-])+)))))$</v>
      </c>
      <c r="U60" s="86" t="str">
        <f>"|"</f>
        <v>|</v>
      </c>
      <c r="V60" s="47" t="str">
        <f>IFx(Table4[[#This Row],[noCalc]],"", IFx(Table4[[#This Row],[reSpan]], re_group( V$4, , Table4[[#This Row],[before]] &amp; Table4[[#This Row],[reSpan]] &amp; Table4[[#This Row],[after]])))</f>
        <v>^(((([\,])+)((?:[0-9])?))((([#@])(((?:\w|[\-])+)))))$</v>
      </c>
      <c r="W60" s="87" t="str">
        <f>re_tag_before_simple</f>
        <v>^</v>
      </c>
      <c r="X60" s="47" t="str">
        <f>IFx( Table4[[#This Row],[noCalc]], "", IFx(  Table4[[#This Row],[reHashRef]], re_group(X$4,, Table4[[#This Row],[begin]] &amp; Table4[[#This Row],[reHashRef]] &amp; Table4[[#This Row],[end]])))</f>
        <v>(((([\,])+)((?:[0-9])?))((([#@])(((?:\w|[\-])+)))))</v>
      </c>
      <c r="Y60" s="47" t="str">
        <f>re_group(Y$4,, Table4[[#This Row],[rePrelude]])</f>
        <v>((([\,])+)((?:[0-9])?))</v>
      </c>
      <c r="Z60" s="87" t="str">
        <f>IFx(Table4[[#This Row],[noCalc]], "", IFx(Table4[[#This Row],[reSpiritSymbolChars]], re_group(  Z$4,,  Table4[[#This Row],[reSpiritDesignator]] &amp; Table4[[#This Row],[reLevel]])))</f>
        <v>((([\,])+)((?:[0-9])?))</v>
      </c>
      <c r="AA60" s="87" t="str">
        <f>IFx( Table4[[#This Row],[noCalc]], "", IFx(Table4[[#This Row],[reSpiritSymbolChars]], re_group(  AA$4,,  Table4[[#This Row],[reSpiritSymbol]]  &amp; Table4[[#This Row],[reSpiritSymbolQ]] ) ))</f>
        <v>(([\,])+)</v>
      </c>
      <c r="AB60" s="87" t="s">
        <v>240</v>
      </c>
      <c r="AC60" s="87" t="str">
        <f>IFx( Table4[[#This Row],[noCalc]], "", IFx(Table4[[#This Row],[reSpiritSymbolChars]], re_group(  AC$4,, re_bracket(1,,  Table4[[#This Row],[reSpiritSymbolChars]]) )))</f>
        <v>([\,])</v>
      </c>
      <c r="AD60" s="35" t="s">
        <v>348</v>
      </c>
      <c r="AE60" s="87" t="str">
        <f>IF(Table4[[#This Row],[noCalc]], "",  IFx(Table4[[#This Row],[reLevelChars]],  re_group(  AE$4,,  re_group_no_capture( 1,, re_bracket(1,, Table4[[#This Row],[reLevelChars]])) &amp; "?")))</f>
        <v>((?:[0-9])?)</v>
      </c>
      <c r="AF60" s="87" t="s">
        <v>253</v>
      </c>
      <c r="AG60" s="87" t="s">
        <v>314</v>
      </c>
      <c r="AH60" s="47" t="str">
        <f>IFx(Table4[[#This Row],[noCalc]], "", IFx( Table4[[#This Row],[reRefType]], re_group( AH$4,,Table4[[#This Row],[reRefType]] &amp; Table4[[#This Row],[reLabel]])))</f>
        <v>((([#@])(((?:\w|[\-])+))))</v>
      </c>
      <c r="AI60" s="87" t="str">
        <f xml:space="preserve"> re_group( AI$4,,  Table4[[#This Row],[reHashSymbol]] &amp; Table4[[#This Row],[ReHashSymbolQ]] )</f>
        <v>([#@])</v>
      </c>
      <c r="AJ60" s="87" t="s">
        <v>138</v>
      </c>
      <c r="AK60" s="87" t="str">
        <f>re_group( AK$4,, re_bracket(1,, Table4[[#This Row],[reHashChars]]))</f>
        <v>[#@]</v>
      </c>
      <c r="AL60" s="90" t="str">
        <f>cs_tag_type</f>
        <v>#@</v>
      </c>
      <c r="AM60" s="87" t="str">
        <f>IFx(Table4[[#This Row],[noCalc]], "", re_group( AM$4,, re_tag_label_simple))</f>
        <v>(((?:\w|[\-])+))</v>
      </c>
      <c r="AN60" s="47" t="str">
        <f>IFx(Table4[[#This Row],[noCalc]], "", re_group( AN$4,, re_tag_tail))</f>
        <v/>
      </c>
      <c r="AO60" s="47" t="str">
        <f>re_tag_after_simple</f>
        <v>$</v>
      </c>
      <c r="AP60" s="6" t="s">
        <v>138</v>
      </c>
      <c r="AT60" s="2" t="str">
        <f>SUBSTITUTE($N65, "\", "\\")</f>
        <v/>
      </c>
      <c r="AU60" s="2"/>
      <c r="AV60" s="35" t="str">
        <f>""</f>
        <v/>
      </c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2:66">
      <c r="B61" s="48" t="s">
        <v>74</v>
      </c>
      <c r="C61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notelet_dull: {
    match: '^(((([;])+)((?:[0-9])?))((([#@])(((?:\\w|[\\-])+)))))$'
    captures: 
      1: name: 'meta.notelet.spirit-dull.text.noted'
      7: name: 'markup.standout.spirit-dull.spirit-marker-${3:/downcase}.spirit-symbol-${4:/downcase}.vigor-${5:/downcase}.text.noted'
    }
    </v>
      </c>
      <c r="D61" s="74" t="str">
        <f>IFx( Table4[[#This Row],[rule_name]], _xlfn.TEXTJOIN(" ",, "{", "include:", "'#" &amp; Table4[[#This Row],[rule_name]] &amp; "'", "}"))</f>
        <v>{ include: '#notelet_dull' }</v>
      </c>
      <c r="E61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'^(((([;])+)((?:[0-9])?))((([#@])(((?:\\w|[\\-])+)))))$'
captures: 
  1: name: 'meta.notelet.spirit-dull.text.noted'
  7: name: 'markup.standout.spirit-dull.spirit-marker-${3:/downcase}.spirit-symbol-${4:/downcase}.vigor-${5:/downcase}.text.noted'</v>
      </c>
      <c r="F61" s="67" t="str">
        <f>IF(Table4[[#This Row],[spirit]]="", "", re_surround(1,, "'", "'", SUBSTITUTE(meta_subscope_mask, spirit_placeholder, Table4[[#This Row],[spirit]])))</f>
        <v>'meta.notelet.spirit-dull.text.noted'</v>
      </c>
      <c r="G61" s="67" t="str">
        <f>IF(Table4[[#This Row],[spirit]]="", "", re_surround(1,, "'", "'", SUBSTITUTE(markup_subscope_mask, spirit_placeholder, Table4[[#This Row],[spirit]])))</f>
        <v>'markup.standout.spirit-dull.spirit-marker-${3:/downcase}.spirit-symbol-${4:/downcase}.vigor-${5:/downcase}.text.noted'</v>
      </c>
      <c r="H61" s="69" t="str">
        <f>IF(Table4[[#This Row],[spirit]]="", "",  re_surround(1,, "'", "'",SUBSTITUTE(dynamic_subscope_mask, spirit_placeholder, Table4[[#This Row],[spirit]])))</f>
        <v/>
      </c>
      <c r="I61" s="97" t="str">
        <f>SUBSTITUTE(SUBSTITUTE(IF(Table4[[#This Row],[spirit]]="", "", Table4[[#This Row],[rule_name_pfx]] &amp; IF(Table4[[#This Row],[spirit]]="undef", "", Table4[[#This Row],[spirit]])), ".", "_"), "-", "_")</f>
        <v>notelet_dull</v>
      </c>
      <c r="J61" s="74" t="str">
        <f>ename &amp; "_"</f>
        <v>notelet_</v>
      </c>
      <c r="K61" s="74">
        <v>72</v>
      </c>
      <c r="L61" s="96" t="s">
        <v>320</v>
      </c>
      <c r="M61" s="91" t="str">
        <f>"re_tag_" &amp; Table4[[#This Row],[spirit]]</f>
        <v>re_tag_dull</v>
      </c>
      <c r="N61" s="47" t="str">
        <f>"" &amp; IF( Table4[[#This Row],[use]] ="", "",  IFERROR(INDEX(TCfg, 0, MATCH(Table4[[#This Row],[use]], Table4[#Headers], 0)), ""))</f>
        <v>'^(((([;])+)((?:[0-9])?))((([#@])(((?:\\w|[\\-])+)))))$'</v>
      </c>
      <c r="O61" s="47" t="s">
        <v>262</v>
      </c>
      <c r="P61" s="35"/>
      <c r="Q61" s="35"/>
      <c r="R61" s="47" t="b">
        <f>OR( Table4[[#This Row],[use]] = "", Table4[[#This Row],[use]] = "custom", Table4[[#This Row],[use]] = "alternate" )</f>
        <v>0</v>
      </c>
      <c r="S61" s="47" t="str">
        <f>re_surround(1,,"'", "'",  Table4[[#This Row],[re_escaped]])</f>
        <v>'^(((([;])+)((?:[0-9])?))((([#@])(((?:\\w|[\\-])+)))))$'</v>
      </c>
      <c r="T61" s="47" t="str">
        <f>SUBSTITUTE(Table4[[#This Row],[regex]], "\", "\\")</f>
        <v>^(((([;])+)((?:[0-9])?))((([#@])(((?:\\w|[\\-])+)))))$</v>
      </c>
      <c r="U61" s="86" t="str">
        <f>"|"</f>
        <v>|</v>
      </c>
      <c r="V61" s="47" t="str">
        <f>IFx(Table4[[#This Row],[noCalc]],"", IFx(Table4[[#This Row],[reSpan]], re_group( V$4, , Table4[[#This Row],[before]] &amp; Table4[[#This Row],[reSpan]] &amp; Table4[[#This Row],[after]])))</f>
        <v>^(((([;])+)((?:[0-9])?))((([#@])(((?:\w|[\-])+)))))$</v>
      </c>
      <c r="W61" s="87" t="str">
        <f>re_tag_before_simple</f>
        <v>^</v>
      </c>
      <c r="X61" s="47" t="str">
        <f>IFx( Table4[[#This Row],[noCalc]], "", IFx(  Table4[[#This Row],[reHashRef]], re_group(X$4,, Table4[[#This Row],[begin]] &amp; Table4[[#This Row],[reHashRef]] &amp; Table4[[#This Row],[end]])))</f>
        <v>(((([;])+)((?:[0-9])?))((([#@])(((?:\w|[\-])+)))))</v>
      </c>
      <c r="Y61" s="47" t="str">
        <f>re_group(Y$4,, Table4[[#This Row],[rePrelude]])</f>
        <v>((([;])+)((?:[0-9])?))</v>
      </c>
      <c r="Z61" s="87" t="str">
        <f>IFx(Table4[[#This Row],[noCalc]], "", IFx(Table4[[#This Row],[reSpiritSymbolChars]], re_group(  Z$4,,  Table4[[#This Row],[reSpiritDesignator]] &amp; Table4[[#This Row],[reLevel]])))</f>
        <v>((([;])+)((?:[0-9])?))</v>
      </c>
      <c r="AA61" s="87" t="str">
        <f>IFx( Table4[[#This Row],[noCalc]], "", IFx(Table4[[#This Row],[reSpiritSymbolChars]], re_group(  AA$4,,  Table4[[#This Row],[reSpiritSymbol]]  &amp; Table4[[#This Row],[reSpiritSymbolQ]] ) ))</f>
        <v>(([;])+)</v>
      </c>
      <c r="AB61" s="87" t="s">
        <v>240</v>
      </c>
      <c r="AC61" s="87" t="str">
        <f>IFx( Table4[[#This Row],[noCalc]], "", IFx(Table4[[#This Row],[reSpiritSymbolChars]], re_group(  AC$4,, re_bracket(1,,  Table4[[#This Row],[reSpiritSymbolChars]]) )))</f>
        <v>([;])</v>
      </c>
      <c r="AD61" s="100" t="s">
        <v>303</v>
      </c>
      <c r="AE61" s="87" t="str">
        <f>IF(Table4[[#This Row],[noCalc]], "",  IFx(Table4[[#This Row],[reLevelChars]],  re_group(  AE$4,,  re_group_no_capture( 1,, re_bracket(1,, Table4[[#This Row],[reLevelChars]])) &amp; "?")))</f>
        <v>((?:[0-9])?)</v>
      </c>
      <c r="AF61" s="87" t="s">
        <v>253</v>
      </c>
      <c r="AG61" s="87" t="s">
        <v>314</v>
      </c>
      <c r="AH61" s="47" t="str">
        <f>IFx(Table4[[#This Row],[noCalc]], "", IFx( Table4[[#This Row],[reRefType]], re_group( AH$4,,Table4[[#This Row],[reRefType]] &amp; Table4[[#This Row],[reLabel]])))</f>
        <v>((([#@])(((?:\w|[\-])+))))</v>
      </c>
      <c r="AI61" s="87" t="str">
        <f xml:space="preserve"> re_group( AI$4,,  Table4[[#This Row],[reHashSymbol]] &amp; Table4[[#This Row],[ReHashSymbolQ]] )</f>
        <v>([#@])</v>
      </c>
      <c r="AJ61" s="87" t="s">
        <v>138</v>
      </c>
      <c r="AK61" s="87" t="str">
        <f>re_group( AK$4,, re_bracket(1,, Table4[[#This Row],[reHashChars]]))</f>
        <v>[#@]</v>
      </c>
      <c r="AL61" s="90" t="str">
        <f>cs_tag_type</f>
        <v>#@</v>
      </c>
      <c r="AM61" s="87" t="str">
        <f>IFx(Table4[[#This Row],[noCalc]], "", re_group( AM$4,, re_tag_label_simple))</f>
        <v>(((?:\w|[\-])+))</v>
      </c>
      <c r="AN61" s="47" t="str">
        <f>IFx(Table4[[#This Row],[noCalc]], "", re_group( AN$4,, re_tag_tail))</f>
        <v/>
      </c>
      <c r="AO61" s="47" t="str">
        <f>re_tag_after_simple</f>
        <v>$</v>
      </c>
      <c r="AQ61" s="2"/>
      <c r="AR61" s="2"/>
      <c r="AS61" s="2"/>
      <c r="AT61" s="2"/>
      <c r="AZ61" s="2"/>
      <c r="BB61" s="6" t="s">
        <v>138</v>
      </c>
      <c r="BC61" s="1"/>
      <c r="BD61"/>
      <c r="BE61"/>
      <c r="BF61"/>
      <c r="BG61" s="2" t="str">
        <f>SUBSTITUTE($M62, "\", "\\")</f>
        <v>re_tag_verbose</v>
      </c>
      <c r="BH61" s="2"/>
      <c r="BI61" s="35" t="str">
        <f>""</f>
        <v/>
      </c>
      <c r="BJ61" s="1"/>
      <c r="BK61" s="1"/>
      <c r="BL61" s="1"/>
      <c r="BM61" s="1"/>
      <c r="BN61" s="1"/>
    </row>
    <row r="62" spans="2:66">
      <c r="B62" s="34"/>
      <c r="C62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notelet_verbose: {
    match: '^(((([&amp;])+)((?:[0-9])?))((([#@])(((?:\\w|[\\-])+)))))$'
    captures: 
      1: name: 'meta.notelet.spirit-verbose.text.noted'
      7: name: 'markup.standout.spirit-verbose.spirit-marker-${3:/downcase}.spirit-symbol-${4:/downcase}.vigor-${5:/downcase}.text.noted'
    }
    </v>
      </c>
      <c r="D62" s="77" t="str">
        <f>IFx( Table4[[#This Row],[rule_name]], _xlfn.TEXTJOIN(" ",, "{", "include:", "'#" &amp; Table4[[#This Row],[rule_name]] &amp; "'", "}"))</f>
        <v>{ include: '#notelet_verbose' }</v>
      </c>
      <c r="E62" s="78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'^(((([&amp;])+)((?:[0-9])?))((([#@])(((?:\\w|[\\-])+)))))$'
captures: 
  1: name: 'meta.notelet.spirit-verbose.text.noted'
  7: name: 'markup.standout.spirit-verbose.spirit-marker-${3:/downcase}.spirit-symbol-${4:/downcase}.vigor-${5:/downcase}.text.noted'</v>
      </c>
      <c r="F62" s="78" t="str">
        <f>IF(Table4[[#This Row],[spirit]]="", "", re_surround(1,, "'", "'", SUBSTITUTE(meta_subscope_mask, spirit_placeholder, Table4[[#This Row],[spirit]])))</f>
        <v>'meta.notelet.spirit-verbose.text.noted'</v>
      </c>
      <c r="G62" s="67" t="str">
        <f>IF(Table4[[#This Row],[spirit]]="", "", re_surround(1,, "'", "'", SUBSTITUTE(markup_subscope_mask, spirit_placeholder, Table4[[#This Row],[spirit]])))</f>
        <v>'markup.standout.spirit-verbose.spirit-marker-${3:/downcase}.spirit-symbol-${4:/downcase}.vigor-${5:/downcase}.text.noted'</v>
      </c>
      <c r="H62" s="79" t="str">
        <f>IF(Table4[[#This Row],[spirit]]="", "",  re_surround(1,, "'", "'",SUBSTITUTE(dynamic_subscope_mask, spirit_placeholder, Table4[[#This Row],[spirit]])))</f>
        <v/>
      </c>
      <c r="I62" s="99" t="str">
        <f>SUBSTITUTE(SUBSTITUTE(IF(Table4[[#This Row],[spirit]]="", "", Table4[[#This Row],[rule_name_pfx]] &amp; IF(Table4[[#This Row],[spirit]]="undef", "", Table4[[#This Row],[spirit]])), ".", "_"), "-", "_")</f>
        <v>notelet_verbose</v>
      </c>
      <c r="J62" s="74" t="str">
        <f>ename &amp; "_"</f>
        <v>notelet_</v>
      </c>
      <c r="K62" s="74">
        <v>75</v>
      </c>
      <c r="L62" s="94" t="s">
        <v>321</v>
      </c>
      <c r="M62" s="91" t="str">
        <f>"re_tag_" &amp; Table4[[#This Row],[spirit]]</f>
        <v>re_tag_verbose</v>
      </c>
      <c r="N62" s="47" t="str">
        <f>"" &amp; IF( Table4[[#This Row],[use]] ="", "",  IFERROR(INDEX(TCfg, 0, MATCH(Table4[[#This Row],[use]], Table4[#Headers], 0)), ""))</f>
        <v>'^(((([&amp;])+)((?:[0-9])?))((([#@])(((?:\\w|[\\-])+)))))$'</v>
      </c>
      <c r="O62" s="47" t="s">
        <v>262</v>
      </c>
      <c r="P62" s="35"/>
      <c r="Q62" s="35"/>
      <c r="R62" s="80" t="b">
        <f>OR( Table4[[#This Row],[use]] = "", Table4[[#This Row],[use]] = "custom", Table4[[#This Row],[use]] = "alternate" )</f>
        <v>0</v>
      </c>
      <c r="S62" s="80" t="str">
        <f>re_surround(1,,"'", "'",  Table4[[#This Row],[re_escaped]])</f>
        <v>'^(((([&amp;])+)((?:[0-9])?))((([#@])(((?:\\w|[\\-])+)))))$'</v>
      </c>
      <c r="T62" s="80" t="str">
        <f>SUBSTITUTE(Table4[[#This Row],[regex]], "\", "\\")</f>
        <v>^(((([&amp;])+)((?:[0-9])?))((([#@])(((?:\\w|[\\-])+)))))$</v>
      </c>
      <c r="U62" s="81" t="str">
        <f>"|"</f>
        <v>|</v>
      </c>
      <c r="V62" s="47" t="str">
        <f>IFx(Table4[[#This Row],[noCalc]],"", IFx(Table4[[#This Row],[reSpan]], re_group( V$4, , Table4[[#This Row],[before]] &amp; Table4[[#This Row],[reSpan]] &amp; Table4[[#This Row],[after]])))</f>
        <v>^(((([&amp;])+)((?:[0-9])?))((([#@])(((?:\w|[\-])+)))))$</v>
      </c>
      <c r="W62" s="87" t="str">
        <f>re_tag_before_simple</f>
        <v>^</v>
      </c>
      <c r="X62" s="47" t="str">
        <f>IFx( Table4[[#This Row],[noCalc]], "", IFx(  Table4[[#This Row],[reHashRef]], re_group(X$4,, Table4[[#This Row],[begin]] &amp; Table4[[#This Row],[reHashRef]] &amp; Table4[[#This Row],[end]])))</f>
        <v>(((([&amp;])+)((?:[0-9])?))((([#@])(((?:\w|[\-])+)))))</v>
      </c>
      <c r="Y62" s="47" t="str">
        <f>re_group(Y$4,, Table4[[#This Row],[rePrelude]])</f>
        <v>((([&amp;])+)((?:[0-9])?))</v>
      </c>
      <c r="Z62" s="80" t="str">
        <f>IFx(Table4[[#This Row],[noCalc]], "", IFx(Table4[[#This Row],[reSpiritSymbolChars]], re_group(  Z$4,,  Table4[[#This Row],[reSpiritDesignator]] &amp; Table4[[#This Row],[reLevel]])))</f>
        <v>((([&amp;])+)((?:[0-9])?))</v>
      </c>
      <c r="AA62" s="80" t="str">
        <f>IFx( Table4[[#This Row],[noCalc]], "", IFx(Table4[[#This Row],[reSpiritSymbolChars]], re_group(  AA$4,,  Table4[[#This Row],[reSpiritSymbol]]  &amp; Table4[[#This Row],[reSpiritSymbolQ]] ) ))</f>
        <v>(([&amp;])+)</v>
      </c>
      <c r="AB62" s="87" t="s">
        <v>240</v>
      </c>
      <c r="AC62" s="87" t="str">
        <f>IFx( Table4[[#This Row],[noCalc]], "", IFx(Table4[[#This Row],[reSpiritSymbolChars]], re_group(  AC$4,, re_bracket(1,,  Table4[[#This Row],[reSpiritSymbolChars]]) )))</f>
        <v>([&amp;])</v>
      </c>
      <c r="AD62" s="35" t="s">
        <v>298</v>
      </c>
      <c r="AE62" s="87" t="str">
        <f>IF(Table4[[#This Row],[noCalc]], "",  IFx(Table4[[#This Row],[reLevelChars]],  re_group(  AE$4,,  re_group_no_capture( 1,, re_bracket(1,, Table4[[#This Row],[reLevelChars]])) &amp; "?")))</f>
        <v>((?:[0-9])?)</v>
      </c>
      <c r="AF62" s="87" t="s">
        <v>253</v>
      </c>
      <c r="AG62" s="87" t="s">
        <v>314</v>
      </c>
      <c r="AH62" s="47" t="str">
        <f>IFx(Table4[[#This Row],[noCalc]], "", IFx( Table4[[#This Row],[reRefType]], re_group( AH$4,,Table4[[#This Row],[reRefType]] &amp; Table4[[#This Row],[reLabel]])))</f>
        <v>((([#@])(((?:\w|[\-])+))))</v>
      </c>
      <c r="AI62" s="80" t="str">
        <f xml:space="preserve"> re_group( AI$4,,  Table4[[#This Row],[reHashSymbol]] &amp; Table4[[#This Row],[ReHashSymbolQ]] )</f>
        <v>([#@])</v>
      </c>
      <c r="AJ62" s="83"/>
      <c r="AK62" s="80" t="str">
        <f>re_group( AK$4,, re_bracket(1,, Table4[[#This Row],[reHashChars]]))</f>
        <v>[#@]</v>
      </c>
      <c r="AL62" s="90" t="str">
        <f>cs_tag_type</f>
        <v>#@</v>
      </c>
      <c r="AM62" s="87" t="str">
        <f>IFx(Table4[[#This Row],[noCalc]], "", re_group( AM$4,, re_tag_label_simple))</f>
        <v>(((?:\w|[\-])+))</v>
      </c>
      <c r="AN62" s="80" t="str">
        <f>IFx(Table4[[#This Row],[noCalc]], "", re_group( AN$4,, re_tag_tail))</f>
        <v/>
      </c>
      <c r="AO62" s="47" t="str">
        <f>re_tag_after_simple</f>
        <v>$</v>
      </c>
      <c r="AQ62" s="2"/>
      <c r="AR62" s="2"/>
      <c r="AS62" s="2"/>
      <c r="AT62" s="2"/>
      <c r="AZ62" s="2"/>
      <c r="BB62" s="6" t="s">
        <v>138</v>
      </c>
      <c r="BC62" s="1"/>
      <c r="BD62"/>
      <c r="BE62"/>
      <c r="BF62"/>
      <c r="BG62" s="2" t="str">
        <f>SUBSTITUTE($M60, "\", "\\")</f>
        <v>re_tag_bland</v>
      </c>
      <c r="BH62" s="2"/>
      <c r="BI62" s="35" t="str">
        <f>""</f>
        <v/>
      </c>
      <c r="BJ62" s="1"/>
      <c r="BK62" s="1"/>
      <c r="BL62" s="1"/>
      <c r="BM62" s="1"/>
      <c r="BN62" s="1"/>
    </row>
    <row r="63" spans="2:66">
      <c r="B63" s="34"/>
      <c r="C63" s="77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notelet_artisan: {
    match: '^(((([~])+)((?:[0-9])?))((([#@])(((?:\\w|[\\-])+)))))$'
    captures: 
      1: name: 'meta.notelet.spirit-artisan.text.noted'
      7: name: 'markup.standout.spirit-artisan.spirit-marker-${3:/downcase}.spirit-symbol-${4:/downcase}.vigor-${5:/downcase}.text.noted'
    }
    </v>
      </c>
      <c r="D63" s="77" t="str">
        <f>IFx( Table4[[#This Row],[rule_name]], _xlfn.TEXTJOIN(" ",, "{", "include:", "'#" &amp; Table4[[#This Row],[rule_name]] &amp; "'", "}"))</f>
        <v>{ include: '#notelet_artisan' }</v>
      </c>
      <c r="E63" s="78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'^(((([~])+)((?:[0-9])?))((([#@])(((?:\\w|[\\-])+)))))$'
captures: 
  1: name: 'meta.notelet.spirit-artisan.text.noted'
  7: name: 'markup.standout.spirit-artisan.spirit-marker-${3:/downcase}.spirit-symbol-${4:/downcase}.vigor-${5:/downcase}.text.noted'</v>
      </c>
      <c r="F63" s="78" t="str">
        <f>IF(Table4[[#This Row],[spirit]]="", "", re_surround(1,, "'", "'", SUBSTITUTE(meta_subscope_mask, spirit_placeholder, Table4[[#This Row],[spirit]])))</f>
        <v>'meta.notelet.spirit-artisan.text.noted'</v>
      </c>
      <c r="G63" s="67" t="str">
        <f>IF(Table4[[#This Row],[spirit]]="", "", re_surround(1,, "'", "'", SUBSTITUTE(markup_subscope_mask, spirit_placeholder, Table4[[#This Row],[spirit]])))</f>
        <v>'markup.standout.spirit-artisan.spirit-marker-${3:/downcase}.spirit-symbol-${4:/downcase}.vigor-${5:/downcase}.text.noted'</v>
      </c>
      <c r="H63" s="79" t="str">
        <f>IF(Table4[[#This Row],[spirit]]="", "",  re_surround(1,, "'", "'",SUBSTITUTE(dynamic_subscope_mask, spirit_placeholder, Table4[[#This Row],[spirit]])))</f>
        <v/>
      </c>
      <c r="I63" s="99" t="str">
        <f>SUBSTITUTE(SUBSTITUTE(IF(Table4[[#This Row],[spirit]]="", "", Table4[[#This Row],[rule_name_pfx]] &amp; IF(Table4[[#This Row],[spirit]]="undef", "", Table4[[#This Row],[spirit]])), ".", "_"), "-", "_")</f>
        <v>notelet_artisan</v>
      </c>
      <c r="J63" s="74" t="str">
        <f>ename &amp; "_"</f>
        <v>notelet_</v>
      </c>
      <c r="K63" s="74">
        <v>90</v>
      </c>
      <c r="L63" s="94" t="s">
        <v>324</v>
      </c>
      <c r="M63" s="91" t="str">
        <f>"re_tag_" &amp; Table4[[#This Row],[spirit]]</f>
        <v>re_tag_artisan</v>
      </c>
      <c r="N63" s="47" t="str">
        <f>"" &amp; IF( Table4[[#This Row],[use]] ="", "",  IFERROR(INDEX(TCfg, 0, MATCH(Table4[[#This Row],[use]], Table4[#Headers], 0)), ""))</f>
        <v>'^(((([~])+)((?:[0-9])?))((([#@])(((?:\\w|[\\-])+)))))$'</v>
      </c>
      <c r="O63" s="47" t="s">
        <v>262</v>
      </c>
      <c r="P63" s="35"/>
      <c r="Q63" s="35"/>
      <c r="R63" s="80" t="b">
        <f>OR( Table4[[#This Row],[use]] = "", Table4[[#This Row],[use]] = "custom", Table4[[#This Row],[use]] = "alternate" )</f>
        <v>0</v>
      </c>
      <c r="S63" s="80" t="str">
        <f>re_surround(1,,"'", "'",  Table4[[#This Row],[re_escaped]])</f>
        <v>'^(((([~])+)((?:[0-9])?))((([#@])(((?:\\w|[\\-])+)))))$'</v>
      </c>
      <c r="T63" s="80" t="str">
        <f>SUBSTITUTE(Table4[[#This Row],[regex]], "\", "\\")</f>
        <v>^(((([~])+)((?:[0-9])?))((([#@])(((?:\\w|[\\-])+)))))$</v>
      </c>
      <c r="U63" s="81" t="str">
        <f>"|"</f>
        <v>|</v>
      </c>
      <c r="V63" s="80" t="str">
        <f>IFx(Table4[[#This Row],[noCalc]],"", IFx(Table4[[#This Row],[reSpan]], re_group( V$4, , Table4[[#This Row],[before]] &amp; Table4[[#This Row],[reSpan]] &amp; Table4[[#This Row],[after]])))</f>
        <v>^(((([~])+)((?:[0-9])?))((([#@])(((?:\w|[\-])+)))))$</v>
      </c>
      <c r="W63" s="87" t="str">
        <f>re_tag_before_simple</f>
        <v>^</v>
      </c>
      <c r="X63" s="47" t="str">
        <f>IFx( Table4[[#This Row],[noCalc]], "", IFx(  Table4[[#This Row],[reHashRef]], re_group(X$4,, Table4[[#This Row],[begin]] &amp; Table4[[#This Row],[reHashRef]] &amp; Table4[[#This Row],[end]])))</f>
        <v>(((([~])+)((?:[0-9])?))((([#@])(((?:\w|[\-])+)))))</v>
      </c>
      <c r="Y63" s="80" t="str">
        <f>re_group(Y$4,, Table4[[#This Row],[rePrelude]])</f>
        <v>((([~])+)((?:[0-9])?))</v>
      </c>
      <c r="Z63" s="80" t="str">
        <f>IFx(Table4[[#This Row],[noCalc]], "", IFx(Table4[[#This Row],[reSpiritSymbolChars]], re_group(  Z$4,,  Table4[[#This Row],[reSpiritDesignator]] &amp; Table4[[#This Row],[reLevel]])))</f>
        <v>((([~])+)((?:[0-9])?))</v>
      </c>
      <c r="AA63" s="80" t="str">
        <f>IFx( Table4[[#This Row],[noCalc]], "", IFx(Table4[[#This Row],[reSpiritSymbolChars]], re_group(  AA$4,,  Table4[[#This Row],[reSpiritSymbol]]  &amp; Table4[[#This Row],[reSpiritSymbolQ]] ) ))</f>
        <v>(([~])+)</v>
      </c>
      <c r="AB63" s="47" t="s">
        <v>240</v>
      </c>
      <c r="AC63" s="47" t="str">
        <f>IFx( Table4[[#This Row],[noCalc]], "", IFx(Table4[[#This Row],[reSpiritSymbolChars]], re_group(  AC$4,, re_bracket(1,,  Table4[[#This Row],[reSpiritSymbolChars]]) )))</f>
        <v>([~])</v>
      </c>
      <c r="AD63" s="35" t="s">
        <v>312</v>
      </c>
      <c r="AE63" s="87" t="str">
        <f>IF(Table4[[#This Row],[noCalc]], "",  IFx(Table4[[#This Row],[reLevelChars]],  re_group(  AE$4,,  re_group_no_capture( 1,, re_bracket(1,, Table4[[#This Row],[reLevelChars]])) &amp; "?")))</f>
        <v>((?:[0-9])?)</v>
      </c>
      <c r="AF63" s="87" t="s">
        <v>253</v>
      </c>
      <c r="AG63" s="87" t="s">
        <v>314</v>
      </c>
      <c r="AH63" s="47" t="str">
        <f>IFx(Table4[[#This Row],[noCalc]], "", IFx( Table4[[#This Row],[reRefType]], re_group( AH$4,,Table4[[#This Row],[reRefType]] &amp; Table4[[#This Row],[reLabel]])))</f>
        <v>((([#@])(((?:\w|[\-])+))))</v>
      </c>
      <c r="AI63" s="80" t="str">
        <f xml:space="preserve"> re_group( AI$4,,  Table4[[#This Row],[reHashSymbol]] &amp; Table4[[#This Row],[ReHashSymbolQ]] )</f>
        <v>([#@])</v>
      </c>
      <c r="AJ63" s="83"/>
      <c r="AK63" s="80" t="str">
        <f>re_group( AK$4,, re_bracket(1,, Table4[[#This Row],[reHashChars]]))</f>
        <v>[#@]</v>
      </c>
      <c r="AL63" s="90" t="str">
        <f>cs_tag_type</f>
        <v>#@</v>
      </c>
      <c r="AM63" s="87" t="str">
        <f>IFx(Table4[[#This Row],[noCalc]], "", re_group( AM$4,, re_tag_label_simple))</f>
        <v>(((?:\w|[\-])+))</v>
      </c>
      <c r="AN63" s="80" t="str">
        <f>IFx(Table4[[#This Row],[noCalc]], "", re_group( AN$4,, re_tag_tail))</f>
        <v/>
      </c>
      <c r="AO63" s="47" t="str">
        <f>re_tag_after_simple</f>
        <v>$</v>
      </c>
      <c r="AP63" s="6" t="s">
        <v>138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2:66">
      <c r="B64" s="48" t="s">
        <v>74</v>
      </c>
      <c r="C64" s="74" t="str">
        <f>IF( Table4[[#This Row],[spirit]]="", "", "  " &amp; IF(Table4[[#This Row],[rule_name]] = "", "", Table4[[#This Row],[rule_name]] &amp;  ": ") &amp; SUBSTITUTE( "{" &amp; newline &amp;  Table4[[#This Row],[rule_body]] &amp; newline &amp; "}" &amp; newline, newline, newline &amp; "    "))</f>
        <v xml:space="preserve">  notelet_neutral: {
    match: '^(((([#@])+)((?:[0-9])?))((([#@])(((?:\\w|[\\-])+)))))$'
    captures: 
      1: name: 'meta.notelet.spirit-neutral.text.noted'
      7: name: 'markup.standout.spirit-neutral.spirit-marker-${3:/downcase}.spirit-symbol-${4:/downcase}.vigor-${5:/downcase}.text.noted'
    }
    </v>
      </c>
      <c r="D64" s="74" t="str">
        <f>IFx( Table4[[#This Row],[rule_name]], _xlfn.TEXTJOIN(" ",, "{", "include:", "'#" &amp; Table4[[#This Row],[rule_name]] &amp; "'", "}"))</f>
        <v>{ include: '#notelet_neutral' }</v>
      </c>
      <c r="E64" s="67" t="str">
        <f>IFx( Table4[[#This Row],[spirit]], _xlfn.TEXTJOIN(newline, ,"match: " &amp; Table4[[#This Row],[Value]], "captures: ",   atom_capture( Table4[[#This Row],[meta_subscope]], meta_subscope_cap, 2),  atom_capture( Table4[[#This Row],[dynamic_subscope]], dynamic_subscope_cap, 2),   atom_capture( Table4[[#This Row],[markup_subscope]], markup_subscope_cap, 2) ))</f>
        <v>match: '^(((([#@])+)((?:[0-9])?))((([#@])(((?:\\w|[\\-])+)))))$'
captures: 
  1: name: 'meta.notelet.spirit-neutral.text.noted'
  7: name: 'markup.standout.spirit-neutral.spirit-marker-${3:/downcase}.spirit-symbol-${4:/downcase}.vigor-${5:/downcase}.text.noted'</v>
      </c>
      <c r="F64" s="67" t="str">
        <f>IF(Table4[[#This Row],[spirit]]="", "", re_surround(1,, "'", "'", SUBSTITUTE(meta_subscope_mask, spirit_placeholder, Table4[[#This Row],[spirit]])))</f>
        <v>'meta.notelet.spirit-neutral.text.noted'</v>
      </c>
      <c r="G64" s="67" t="str">
        <f>IF(Table4[[#This Row],[spirit]]="", "", re_surround(1,, "'", "'", SUBSTITUTE(markup_subscope_mask, spirit_placeholder, Table4[[#This Row],[spirit]])))</f>
        <v>'markup.standout.spirit-neutral.spirit-marker-${3:/downcase}.spirit-symbol-${4:/downcase}.vigor-${5:/downcase}.text.noted'</v>
      </c>
      <c r="H64" s="69" t="str">
        <f>IF(Table4[[#This Row],[spirit]]="", "",  re_surround(1,, "'", "'",SUBSTITUTE(dynamic_subscope_mask, spirit_placeholder, Table4[[#This Row],[spirit]])))</f>
        <v/>
      </c>
      <c r="I64" s="97" t="str">
        <f>SUBSTITUTE(SUBSTITUTE(IF(Table4[[#This Row],[spirit]]="", "", Table4[[#This Row],[rule_name_pfx]] &amp; IF(Table4[[#This Row],[spirit]]="undef", "", Table4[[#This Row],[spirit]])), ".", "_"), "-", "_")</f>
        <v>notelet_neutral</v>
      </c>
      <c r="J64" s="74" t="str">
        <f>ename &amp; "_"</f>
        <v>notelet_</v>
      </c>
      <c r="K64" s="74">
        <v>90</v>
      </c>
      <c r="L64" s="96" t="s">
        <v>235</v>
      </c>
      <c r="M64" s="91" t="str">
        <f>"re_tag_" &amp; Table4[[#This Row],[spirit]]</f>
        <v>re_tag_neutral</v>
      </c>
      <c r="N64" s="47" t="str">
        <f>"" &amp; IF( Table4[[#This Row],[use]] ="", "",  IFERROR(INDEX(TCfg, 0, MATCH(Table4[[#This Row],[use]], Table4[#Headers], 0)), ""))</f>
        <v>'^(((([#@])+)((?:[0-9])?))((([#@])(((?:\\w|[\\-])+)))))$'</v>
      </c>
      <c r="O64" s="47" t="s">
        <v>262</v>
      </c>
      <c r="P64" s="35"/>
      <c r="Q64" s="35"/>
      <c r="R64" s="47" t="b">
        <f>OR( Table4[[#This Row],[use]] = "", Table4[[#This Row],[use]] = "custom", Table4[[#This Row],[use]] = "alternate" )</f>
        <v>0</v>
      </c>
      <c r="S64" s="47" t="str">
        <f>re_surround(1,,"'", "'",  Table4[[#This Row],[re_escaped]])</f>
        <v>'^(((([#@])+)((?:[0-9])?))((([#@])(((?:\\w|[\\-])+)))))$'</v>
      </c>
      <c r="T64" s="47" t="str">
        <f>SUBSTITUTE(Table4[[#This Row],[regex]], "\", "\\")</f>
        <v>^(((([#@])+)((?:[0-9])?))((([#@])(((?:\\w|[\\-])+)))))$</v>
      </c>
      <c r="U64" s="86" t="str">
        <f>"|"</f>
        <v>|</v>
      </c>
      <c r="V64" s="47" t="str">
        <f>IFx(Table4[[#This Row],[noCalc]],"", IFx(Table4[[#This Row],[reSpan]], re_group( V$4, , Table4[[#This Row],[before]] &amp; Table4[[#This Row],[reSpan]] &amp; Table4[[#This Row],[after]])))</f>
        <v>^(((([#@])+)((?:[0-9])?))((([#@])(((?:\w|[\-])+)))))$</v>
      </c>
      <c r="W64" s="87" t="str">
        <f>re_tag_before_simple</f>
        <v>^</v>
      </c>
      <c r="X64" s="47" t="str">
        <f>IFx( Table4[[#This Row],[noCalc]], "", IFx(  Table4[[#This Row],[reHashRef]], re_group(X$4,, Table4[[#This Row],[begin]] &amp; Table4[[#This Row],[reHashRef]] &amp; Table4[[#This Row],[end]])))</f>
        <v>(((([#@])+)((?:[0-9])?))((([#@])(((?:\w|[\-])+)))))</v>
      </c>
      <c r="Y64" s="47" t="str">
        <f>re_group(Y$4,, Table4[[#This Row],[rePrelude]])</f>
        <v>((([#@])+)((?:[0-9])?))</v>
      </c>
      <c r="Z64" s="87" t="str">
        <f>IFx(Table4[[#This Row],[noCalc]], "", IFx(Table4[[#This Row],[reSpiritSymbolChars]], re_group(  Z$4,,  Table4[[#This Row],[reSpiritDesignator]] &amp; Table4[[#This Row],[reLevel]])))</f>
        <v>((([#@])+)((?:[0-9])?))</v>
      </c>
      <c r="AA64" s="87" t="str">
        <f>IFx( Table4[[#This Row],[noCalc]], "", IFx(Table4[[#This Row],[reSpiritSymbolChars]], re_group(  AA$4,,  Table4[[#This Row],[reSpiritSymbol]]  &amp; Table4[[#This Row],[reSpiritSymbolQ]] ) ))</f>
        <v>(([#@])+)</v>
      </c>
      <c r="AB64" s="87" t="s">
        <v>240</v>
      </c>
      <c r="AC64" s="87" t="str">
        <f>IFx( Table4[[#This Row],[noCalc]], "", IFx(Table4[[#This Row],[reSpiritSymbolChars]], re_group(  AC$4,, re_bracket(1,,  Table4[[#This Row],[reSpiritSymbolChars]]) )))</f>
        <v>([#@])</v>
      </c>
      <c r="AD64" s="100" t="s">
        <v>241</v>
      </c>
      <c r="AE64" s="87" t="str">
        <f>IF(Table4[[#This Row],[noCalc]], "",  IFx(Table4[[#This Row],[reLevelChars]],  re_group(  AE$4,,  re_group_no_capture( 1,, re_bracket(1,, Table4[[#This Row],[reLevelChars]])) &amp; "?")))</f>
        <v>((?:[0-9])?)</v>
      </c>
      <c r="AF64" s="87" t="s">
        <v>253</v>
      </c>
      <c r="AG64" s="87" t="s">
        <v>314</v>
      </c>
      <c r="AH64" s="47" t="str">
        <f>IFx(Table4[[#This Row],[noCalc]], "", IFx( Table4[[#This Row],[reRefType]], re_group( AH$4,,Table4[[#This Row],[reRefType]] &amp; Table4[[#This Row],[reLabel]])))</f>
        <v>((([#@])(((?:\w|[\-])+))))</v>
      </c>
      <c r="AI64" s="87" t="str">
        <f xml:space="preserve"> re_group( AI$4,,  Table4[[#This Row],[reHashSymbol]] &amp; Table4[[#This Row],[ReHashSymbolQ]] )</f>
        <v>([#@])</v>
      </c>
      <c r="AJ64" s="87" t="s">
        <v>138</v>
      </c>
      <c r="AK64" s="87" t="str">
        <f>re_group( AK$4,, re_bracket(1,, Table4[[#This Row],[reHashChars]]))</f>
        <v>[#@]</v>
      </c>
      <c r="AL64" s="90" t="str">
        <f>cs_tag_type</f>
        <v>#@</v>
      </c>
      <c r="AM64" s="87" t="str">
        <f>IFx(Table4[[#This Row],[noCalc]], "", re_group( AM$4,, re_tag_label_simple))</f>
        <v>(((?:\w|[\-])+))</v>
      </c>
      <c r="AN64" s="47" t="str">
        <f>IFx(Table4[[#This Row],[noCalc]], "", re_group( AN$4,, re_tag_tail))</f>
        <v/>
      </c>
      <c r="AO64" s="47" t="str">
        <f>re_tag_after_simple</f>
        <v>$</v>
      </c>
      <c r="AP64" s="2"/>
      <c r="AQ64" s="2"/>
      <c r="AR64" s="2"/>
      <c r="AS64" s="2"/>
      <c r="AU64" s="2"/>
      <c r="AW64" s="37"/>
      <c r="AX64" s="37"/>
      <c r="AY64" s="37"/>
      <c r="AZ64" s="37"/>
      <c r="BA64" s="6" t="s">
        <v>138</v>
      </c>
      <c r="BB64" s="1"/>
      <c r="BC64"/>
      <c r="BD64"/>
      <c r="BE64"/>
      <c r="BF64" s="2" t="e">
        <f>SUBSTITUTE(#REF!, "\", "\\")</f>
        <v>#REF!</v>
      </c>
      <c r="BH64" s="35" t="str">
        <f>""</f>
        <v/>
      </c>
      <c r="BI64" s="1"/>
      <c r="BJ64" s="1"/>
      <c r="BK64" s="1"/>
      <c r="BL64" s="1"/>
      <c r="BM64" s="1"/>
      <c r="BN64" s="1"/>
    </row>
    <row r="65" spans="2:66"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62"/>
      <c r="N65" s="47"/>
      <c r="O65" s="35"/>
      <c r="P65" s="35"/>
      <c r="Q65" s="35"/>
      <c r="R65" s="43"/>
      <c r="S65" s="35"/>
      <c r="T65" s="43"/>
      <c r="U65" s="43"/>
      <c r="V65" s="43"/>
      <c r="W65" s="43"/>
      <c r="X65" s="35"/>
      <c r="Y65" s="43"/>
      <c r="Z65" s="35"/>
      <c r="AA65" s="35"/>
      <c r="AB65" s="35"/>
      <c r="AC65" s="35"/>
      <c r="AD65" s="35"/>
      <c r="AE65" s="43"/>
      <c r="AF65" s="35"/>
      <c r="AG65" s="35"/>
      <c r="AH65" s="35"/>
      <c r="AI65" s="35"/>
      <c r="AJ65" s="35"/>
      <c r="AK65" s="35"/>
      <c r="AL65" s="35"/>
      <c r="AM65" s="35"/>
      <c r="AN65" s="43"/>
      <c r="AO65" s="35"/>
      <c r="AP65" s="2"/>
      <c r="AQ65" s="2"/>
      <c r="AR65" s="2"/>
      <c r="AS65" s="2"/>
      <c r="AU65" s="2"/>
      <c r="AW65" s="38"/>
      <c r="AX65" s="38"/>
      <c r="AY65" s="38"/>
      <c r="AZ65" s="38"/>
      <c r="BA65" s="6" t="s">
        <v>138</v>
      </c>
      <c r="BB65" s="1"/>
      <c r="BC65"/>
      <c r="BD65"/>
      <c r="BE65"/>
      <c r="BF65" s="2" t="e">
        <f>SUBSTITUTE(#REF!, "\", "\\")</f>
        <v>#REF!</v>
      </c>
      <c r="BH65" s="35" t="str">
        <f>""</f>
        <v/>
      </c>
      <c r="BI65" s="1"/>
      <c r="BJ65" s="1"/>
      <c r="BK65" s="1"/>
      <c r="BL65" s="1"/>
      <c r="BM65" s="1"/>
      <c r="BN65" s="1"/>
    </row>
    <row r="66" spans="2:66">
      <c r="BG66" s="6" t="s">
        <v>138</v>
      </c>
      <c r="BH66" s="1"/>
      <c r="BN66" s="35" t="str">
        <f>""</f>
        <v/>
      </c>
    </row>
    <row r="67" spans="2:66">
      <c r="BG67" t="str">
        <f>""</f>
        <v/>
      </c>
      <c r="BH67" s="1"/>
      <c r="BN67" s="35" t="str">
        <f>""</f>
        <v/>
      </c>
    </row>
    <row r="68" spans="2:66">
      <c r="BG68" t="str">
        <f>""</f>
        <v/>
      </c>
      <c r="BH68" s="1"/>
      <c r="BN68" s="35" t="str">
        <f>""</f>
        <v/>
      </c>
    </row>
    <row r="69" spans="2:66">
      <c r="BG69" t="str">
        <f>""</f>
        <v/>
      </c>
      <c r="BH69" s="1"/>
      <c r="BN69" s="35" t="str">
        <f>""</f>
        <v/>
      </c>
    </row>
    <row r="70" spans="2:66">
      <c r="BG70" t="str">
        <f>""</f>
        <v/>
      </c>
      <c r="BH70" s="1"/>
      <c r="BN70" s="35" t="str">
        <f>""</f>
        <v/>
      </c>
    </row>
    <row r="71" spans="2:66">
      <c r="BG71" t="str">
        <f>""</f>
        <v/>
      </c>
      <c r="BH71" s="1"/>
      <c r="BN71" s="35" t="str">
        <f>""</f>
        <v/>
      </c>
    </row>
    <row r="72" spans="2:66">
      <c r="BH72" s="1"/>
      <c r="BN72" s="35" t="str">
        <f>""</f>
        <v/>
      </c>
    </row>
    <row r="73" spans="2:66">
      <c r="BH73" s="1"/>
    </row>
  </sheetData>
  <conditionalFormatting sqref="O6:O65">
    <cfRule type="containsText" dxfId="23" priority="39" operator="containsText" text="regex">
      <formula>NOT(ISERROR(SEARCH("regex",O6)))</formula>
    </cfRule>
    <cfRule type="containsText" dxfId="22" priority="40" operator="containsText" text="custom">
      <formula>NOT(ISERROR(SEARCH("custom",O6)))</formula>
    </cfRule>
    <cfRule type="containsText" dxfId="21" priority="41" operator="containsText" text="re_">
      <formula>NOT(ISERROR(SEARCH("re_",O6)))</formula>
    </cfRule>
  </conditionalFormatting>
  <conditionalFormatting sqref="AJ6:AJ65 AL6:AL65">
    <cfRule type="notContainsBlanks" dxfId="20" priority="35">
      <formula>LEN(TRIM(AJ6))&gt;0</formula>
    </cfRule>
  </conditionalFormatting>
  <conditionalFormatting sqref="AF56:AK65 AE56:AE64 S6:V65 Z6:AC65 X6:X65 AE6:AK55 E6:H64">
    <cfRule type="notContainsBlanks" dxfId="19" priority="36">
      <formula>LEN(TRIM(E6))&gt;0</formula>
    </cfRule>
  </conditionalFormatting>
  <conditionalFormatting sqref="A3:XFD3 AM6:AM65">
    <cfRule type="notContainsBlanks" dxfId="18" priority="696">
      <formula>LEN(TRIM(A3))&gt;0</formula>
    </cfRule>
  </conditionalFormatting>
  <conditionalFormatting sqref="AN6:AN65 Y6:Y65 AE6:AG65">
    <cfRule type="notContainsBlanks" dxfId="17" priority="26">
      <formula>LEN(TRIM(Y6))&gt;0</formula>
    </cfRule>
  </conditionalFormatting>
  <conditionalFormatting sqref="AB6:AC65 AF6:AG65">
    <cfRule type="notContainsBlanks" dxfId="16" priority="24">
      <formula>LEN(TRIM(AB6))&gt;0</formula>
    </cfRule>
  </conditionalFormatting>
  <conditionalFormatting sqref="B4:AO4 K6:K64">
    <cfRule type="notContainsBlanks" dxfId="15" priority="21">
      <formula>LEN(TRIM(B4))&gt;0</formula>
    </cfRule>
  </conditionalFormatting>
  <conditionalFormatting sqref="A2:XFD2 E50:E51 D6:D65">
    <cfRule type="notContainsBlanks" dxfId="14" priority="19">
      <formula>LEN(TRIM(A2))&gt;0</formula>
    </cfRule>
  </conditionalFormatting>
  <conditionalFormatting sqref="E50:E51 C6:D65 I6:I65 N6:N65">
    <cfRule type="notContainsBlanks" dxfId="13" priority="22">
      <formula>LEN(TRIM(C6))&gt;0</formula>
    </cfRule>
  </conditionalFormatting>
  <conditionalFormatting sqref="AO6:AO65 W6:W65 AD6:AG65 J6:K65">
    <cfRule type="notContainsBlanks" dxfId="12" priority="18">
      <formula>LEN(TRIM(J6))&gt;0</formula>
    </cfRule>
  </conditionalFormatting>
  <conditionalFormatting sqref="M6:M30 M34:M65">
    <cfRule type="notContainsBlanks" dxfId="11" priority="43">
      <formula>LEN(TRIM(M6))&gt;0</formula>
    </cfRule>
  </conditionalFormatting>
  <conditionalFormatting sqref="R6:R65">
    <cfRule type="notContainsBlanks" dxfId="10" priority="12">
      <formula>LEN(TRIM(R6))&gt;0</formula>
    </cfRule>
  </conditionalFormatting>
  <conditionalFormatting sqref="L6:L65">
    <cfRule type="notContainsBlanks" dxfId="9" priority="9">
      <formula>LEN(TRIM(L6))&gt;0</formula>
    </cfRule>
  </conditionalFormatting>
  <conditionalFormatting sqref="P50:Q51">
    <cfRule type="notContainsBlanks" dxfId="8" priority="8">
      <formula>LEN(TRIM(P50))&gt;0</formula>
    </cfRule>
  </conditionalFormatting>
  <conditionalFormatting sqref="B6:AO30 B31:L33 N31:AO33 B34:AO64">
    <cfRule type="expression" dxfId="7" priority="695" stopIfTrue="1">
      <formula>$O6 = B$5</formula>
    </cfRule>
  </conditionalFormatting>
  <conditionalFormatting sqref="O6:O64">
    <cfRule type="containsText" dxfId="6" priority="1" operator="containsText" text="alternate">
      <formula>NOT(ISERROR(SEARCH("alternate",O6)))</formula>
    </cfRule>
  </conditionalFormatting>
  <hyperlinks>
    <hyperlink ref="AD64" r:id="rId1" xr:uid="{E45F31EE-9529-D444-8F6E-0FF7B184A2F9}"/>
    <hyperlink ref="P45" r:id="rId2" xr:uid="{372B6EEB-51BD-824C-BD52-6157A4061988}"/>
    <hyperlink ref="AD53" r:id="rId3" display="\\-" xr:uid="{7DBEB04E-36E3-F04E-A98C-79D397EEB4B7}"/>
    <hyperlink ref="AD51" r:id="rId4" display="\\-" xr:uid="{DF1B000D-2D3E-C34C-B974-CF3BEA29DD76}"/>
  </hyperlinks>
  <pageMargins left="0.7" right="0.7" top="0.75" bottom="0.75" header="0.3" footer="0.3"/>
  <pageSetup paperSize="9" orientation="portrait" horizontalDpi="0" verticalDpi="0"/>
  <legacyDrawing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302C-E6CC-514F-8ABB-9C99AC154F2A}">
  <sheetPr codeName="Sheet3"/>
  <dimension ref="B3:K45"/>
  <sheetViews>
    <sheetView tabSelected="1" workbookViewId="0">
      <selection activeCell="J14" sqref="J14"/>
    </sheetView>
  </sheetViews>
  <sheetFormatPr baseColWidth="10" defaultRowHeight="17"/>
  <cols>
    <col min="2" max="2" width="20" customWidth="1"/>
    <col min="3" max="3" width="23.140625" customWidth="1"/>
    <col min="9" max="9" width="8" customWidth="1"/>
  </cols>
  <sheetData>
    <row r="3" spans="2:7">
      <c r="B3" s="6" t="s">
        <v>97</v>
      </c>
      <c r="C3" t="s">
        <v>98</v>
      </c>
      <c r="D3" t="b">
        <f>OR((SEARCH("]",C3)&gt;0))</f>
        <v>1</v>
      </c>
    </row>
    <row r="4" spans="2:7">
      <c r="B4" t="s">
        <v>222</v>
      </c>
      <c r="C4" t="str">
        <f>SUBSTITUTE(B4, "\", "\\")</f>
        <v>Filan \\w gibi</v>
      </c>
    </row>
    <row r="12" spans="2:7">
      <c r="B12" s="1"/>
      <c r="C12" s="1"/>
      <c r="D12" s="2"/>
      <c r="E12" s="2"/>
      <c r="F12" s="2"/>
      <c r="G12" s="2"/>
    </row>
    <row r="13" spans="2:7">
      <c r="B13" s="1" t="s">
        <v>248</v>
      </c>
      <c r="C13" s="1" t="s">
        <v>70</v>
      </c>
      <c r="D13" s="2" t="s">
        <v>71</v>
      </c>
      <c r="E13" s="2" t="s">
        <v>263</v>
      </c>
      <c r="F13" s="2" t="s">
        <v>69</v>
      </c>
      <c r="G13" s="2"/>
    </row>
    <row r="14" spans="2:7">
      <c r="B14" s="1" t="s">
        <v>74</v>
      </c>
      <c r="C14" s="1"/>
      <c r="D14" s="2"/>
      <c r="E14" s="2"/>
      <c r="F14" s="2"/>
      <c r="G14" s="2"/>
    </row>
    <row r="15" spans="2:7">
      <c r="B15" s="1"/>
      <c r="C15" s="1"/>
      <c r="D15" s="2"/>
      <c r="E15" s="2"/>
      <c r="F15" s="2"/>
      <c r="G15" s="2"/>
    </row>
    <row r="16" spans="2:7">
      <c r="B16" s="1"/>
      <c r="C16" s="1"/>
      <c r="D16" s="2"/>
      <c r="E16" s="2"/>
      <c r="F16" s="2"/>
      <c r="G16" s="2"/>
    </row>
    <row r="17" spans="2:10">
      <c r="B17" s="1"/>
      <c r="C17" s="1"/>
      <c r="D17" s="2"/>
      <c r="E17" s="2"/>
      <c r="F17" s="2"/>
      <c r="G17" s="2"/>
    </row>
    <row r="18" spans="2:10">
      <c r="B18" s="1"/>
      <c r="C18" s="1"/>
      <c r="D18" s="2"/>
      <c r="E18" s="2"/>
      <c r="F18" s="2"/>
      <c r="G18" s="2"/>
    </row>
    <row r="19" spans="2:10">
      <c r="B19" s="1"/>
      <c r="C19" s="1"/>
      <c r="D19" s="2"/>
      <c r="E19" s="2"/>
      <c r="F19" s="2"/>
      <c r="G19" s="2"/>
    </row>
    <row r="20" spans="2:10">
      <c r="B20" s="1"/>
      <c r="C20" s="1"/>
      <c r="D20" s="2"/>
      <c r="E20" s="2"/>
      <c r="F20" s="2"/>
      <c r="G20" s="2"/>
    </row>
    <row r="29" spans="2:10">
      <c r="I29" s="126" t="s">
        <v>243</v>
      </c>
      <c r="J29" s="107" t="s">
        <v>351</v>
      </c>
    </row>
    <row r="30" spans="2:10">
      <c r="I30" s="127" t="s">
        <v>349</v>
      </c>
      <c r="J30" s="108" t="s">
        <v>233</v>
      </c>
    </row>
    <row r="31" spans="2:10">
      <c r="I31" s="126" t="s">
        <v>352</v>
      </c>
      <c r="J31" s="107" t="s">
        <v>65</v>
      </c>
    </row>
    <row r="32" spans="2:10">
      <c r="I32" s="112" t="s">
        <v>253</v>
      </c>
      <c r="J32" s="111" t="s">
        <v>297</v>
      </c>
    </row>
    <row r="33" spans="9:11">
      <c r="I33" s="105" t="s">
        <v>242</v>
      </c>
      <c r="J33" s="107" t="s">
        <v>56</v>
      </c>
    </row>
    <row r="34" spans="9:11">
      <c r="I34" s="127" t="s">
        <v>240</v>
      </c>
      <c r="J34" s="108" t="s">
        <v>234</v>
      </c>
    </row>
    <row r="35" spans="9:11">
      <c r="I35" s="128" t="s">
        <v>344</v>
      </c>
      <c r="J35" s="107" t="s">
        <v>345</v>
      </c>
    </row>
    <row r="36" spans="9:11">
      <c r="I36" s="106" t="s">
        <v>244</v>
      </c>
      <c r="J36" s="108" t="s">
        <v>301</v>
      </c>
    </row>
    <row r="37" spans="9:11">
      <c r="I37" s="105" t="s">
        <v>299</v>
      </c>
      <c r="J37" s="107" t="s">
        <v>302</v>
      </c>
    </row>
    <row r="38" spans="9:11">
      <c r="I38" s="106" t="s">
        <v>353</v>
      </c>
      <c r="J38" s="108" t="s">
        <v>304</v>
      </c>
    </row>
    <row r="39" spans="9:11">
      <c r="I39" s="110" t="s">
        <v>303</v>
      </c>
      <c r="J39" s="109" t="s">
        <v>320</v>
      </c>
    </row>
    <row r="40" spans="9:11">
      <c r="I40" s="106" t="s">
        <v>298</v>
      </c>
      <c r="J40" s="108" t="s">
        <v>321</v>
      </c>
    </row>
    <row r="41" spans="9:11">
      <c r="I41" s="105" t="s">
        <v>312</v>
      </c>
      <c r="J41" s="107" t="s">
        <v>324</v>
      </c>
    </row>
    <row r="42" spans="9:11">
      <c r="I42" s="129" t="s">
        <v>354</v>
      </c>
      <c r="J42" s="111" t="s">
        <v>356</v>
      </c>
    </row>
    <row r="43" spans="9:11">
      <c r="I43" s="129" t="s">
        <v>355</v>
      </c>
      <c r="J43" s="111" t="s">
        <v>357</v>
      </c>
    </row>
    <row r="45" spans="9:11">
      <c r="K45" t="s">
        <v>355</v>
      </c>
    </row>
  </sheetData>
  <conditionalFormatting sqref="I29:I42">
    <cfRule type="notContainsBlanks" dxfId="5" priority="11">
      <formula>LEN(TRIM(I29))&gt;0</formula>
    </cfRule>
  </conditionalFormatting>
  <conditionalFormatting sqref="J29:J42">
    <cfRule type="notContainsBlanks" dxfId="4" priority="9">
      <formula>LEN(TRIM(J29))&gt;0</formula>
    </cfRule>
  </conditionalFormatting>
  <conditionalFormatting sqref="I29:J42">
    <cfRule type="expression" dxfId="3" priority="703" stopIfTrue="1">
      <formula>#REF! = I$5</formula>
    </cfRule>
  </conditionalFormatting>
  <conditionalFormatting sqref="I43">
    <cfRule type="notContainsBlanks" dxfId="2" priority="5">
      <formula>LEN(TRIM(I43))&gt;0</formula>
    </cfRule>
  </conditionalFormatting>
  <conditionalFormatting sqref="J43">
    <cfRule type="notContainsBlanks" dxfId="1" priority="4">
      <formula>LEN(TRIM(J43))&gt;0</formula>
    </cfRule>
  </conditionalFormatting>
  <conditionalFormatting sqref="I43:J43">
    <cfRule type="expression" dxfId="0" priority="6" stopIfTrue="1">
      <formula>#REF! = I$5</formula>
    </cfRule>
  </conditionalFormatting>
  <hyperlinks>
    <hyperlink ref="I42" r:id="rId1" display="#@" xr:uid="{CBA8849F-AFC8-4747-BB5C-290711C0A4EF}"/>
    <hyperlink ref="I31" r:id="rId2" display="\\-" xr:uid="{448B2906-0DB2-A247-ACE9-ECC6D3AA43AF}"/>
    <hyperlink ref="I29" r:id="rId3" display="\\-" xr:uid="{DA7C52F0-912D-854A-AFC4-E9CB37F90BF3}"/>
    <hyperlink ref="I43" r:id="rId4" display="#@" xr:uid="{041EDB3D-41C2-0A46-BB65-1F29FAC75CD7}"/>
  </hyperlinks>
  <pageMargins left="0.7" right="0.7" top="0.75" bottom="0.75" header="0.3" footer="0.3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Data</vt:lpstr>
      <vt:lpstr>Summary</vt:lpstr>
      <vt:lpstr>Regexen</vt:lpstr>
      <vt:lpstr>Scratch</vt:lpstr>
      <vt:lpstr>atom_grammatic_group_template</vt:lpstr>
      <vt:lpstr>atom_grammatic_name_template</vt:lpstr>
      <vt:lpstr>cs_tag_type</vt:lpstr>
      <vt:lpstr>dynamic_subscope_cap</vt:lpstr>
      <vt:lpstr>dynamic_subscope_mask</vt:lpstr>
      <vt:lpstr>ename</vt:lpstr>
      <vt:lpstr>extra_spec</vt:lpstr>
      <vt:lpstr>markup_subscope_cap</vt:lpstr>
      <vt:lpstr>markup_subscope_mask</vt:lpstr>
      <vt:lpstr>meta_subscope_cap</vt:lpstr>
      <vt:lpstr>meta_subscope_mask</vt:lpstr>
      <vt:lpstr>meta.notelet.spirit.__SPIRIT__.text.noted</vt:lpstr>
      <vt:lpstr>newline</vt:lpstr>
      <vt:lpstr>re_atom_pattern_begin</vt:lpstr>
      <vt:lpstr>re_atom_pattern_end</vt:lpstr>
      <vt:lpstr>re_tag_after</vt:lpstr>
      <vt:lpstr>re_tag_after_simple</vt:lpstr>
      <vt:lpstr>re_tag_alert</vt:lpstr>
      <vt:lpstr>re_tag_aside</vt:lpstr>
      <vt:lpstr>re_tag_bad</vt:lpstr>
      <vt:lpstr>re_tag_before</vt:lpstr>
      <vt:lpstr>re_tag_before_simple</vt:lpstr>
      <vt:lpstr>re_tag_fishy</vt:lpstr>
      <vt:lpstr>re_tag_good</vt:lpstr>
      <vt:lpstr>re_tag_label</vt:lpstr>
      <vt:lpstr>re_tag_label_simple</vt:lpstr>
      <vt:lpstr>re_tag_neutral</vt:lpstr>
      <vt:lpstr>re_tag_noted</vt:lpstr>
      <vt:lpstr>re_tag_question</vt:lpstr>
      <vt:lpstr>re_tag_spooky</vt:lpstr>
      <vt:lpstr>re_tag_tail</vt:lpstr>
      <vt:lpstr>re_tag_type</vt:lpstr>
      <vt:lpstr>re_tw_label</vt:lpstr>
      <vt:lpstr>re_tw_reference</vt:lpstr>
      <vt:lpstr>re_tw_refsymbol</vt:lpstr>
      <vt:lpstr>scope_suffix</vt:lpstr>
      <vt:lpstr>spirit_placeholder</vt:lpstr>
      <vt:lpstr>spirit_prefix</vt:lpstr>
      <vt:lpstr>spirit_spec</vt:lpstr>
      <vt:lpstr>spirit_spec_full</vt:lpstr>
      <vt:lpstr>TCfg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</dc:creator>
  <cp:lastModifiedBy>AU</cp:lastModifiedBy>
  <dcterms:created xsi:type="dcterms:W3CDTF">2018-06-29T07:52:03Z</dcterms:created>
  <dcterms:modified xsi:type="dcterms:W3CDTF">2018-07-12T01:56:47Z</dcterms:modified>
</cp:coreProperties>
</file>